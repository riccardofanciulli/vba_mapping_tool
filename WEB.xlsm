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25" yWindow="300" windowWidth="27525" windowHeight="11130" tabRatio="855" activeTab="3"/>
  </bookViews>
  <sheets>
    <sheet name="Version Control" sheetId="62" r:id="rId1"/>
    <sheet name="mapping" sheetId="102" r:id="rId2"/>
    <sheet name="SPweb-LandMobile" sheetId="103" state="hidden" r:id="rId3"/>
    <sheet name="CONTROL" sheetId="110" r:id="rId4"/>
  </sheets>
  <externalReferences>
    <externalReference r:id="rId5"/>
    <externalReference r:id="rId6"/>
  </externalReferences>
  <definedNames>
    <definedName name="_xlnm._FilterDatabase" localSheetId="1" hidden="1">mapping!$A$5:$R$958</definedName>
    <definedName name="_xlnm._FilterDatabase" localSheetId="2" hidden="1">'SPweb-LandMobile'!$C$1:$C$335</definedName>
    <definedName name="Annex_125_CoserCreation">mapping!#REF!,mapping!#REF!</definedName>
    <definedName name="AP_NAME">#REF!</definedName>
    <definedName name="AP_PRJ_IDENT">#REF!</definedName>
    <definedName name="AP_REF_NUMBER">#REF!</definedName>
    <definedName name="BASE_MOBILE_mkup">#REF!</definedName>
    <definedName name="Changed">#REF!</definedName>
    <definedName name="_xlnm.Extract" localSheetId="2">'SPweb-LandMobile'!$M$4</definedName>
    <definedName name="pippo">mapping!#REF!</definedName>
    <definedName name="RADIODETERMINATION_mkup">#REF!</definedName>
    <definedName name="Required">#REF!</definedName>
  </definedNames>
  <calcPr calcId="145621"/>
</workbook>
</file>

<file path=xl/calcChain.xml><?xml version="1.0" encoding="utf-8"?>
<calcChain xmlns="http://schemas.openxmlformats.org/spreadsheetml/2006/main">
  <c r="Q41" i="110" l="1"/>
  <c r="Q40" i="110"/>
  <c r="Q39" i="110"/>
  <c r="Q38" i="110"/>
  <c r="Q37" i="110"/>
  <c r="Q36" i="110"/>
  <c r="Q35" i="110"/>
  <c r="Q34" i="110"/>
  <c r="Q33" i="110"/>
  <c r="Q32" i="110"/>
  <c r="Q31" i="110"/>
  <c r="Q30" i="110"/>
  <c r="Q29" i="110"/>
  <c r="Q28" i="110"/>
  <c r="Q27" i="110"/>
  <c r="Q26" i="110"/>
  <c r="Q25" i="110"/>
  <c r="Q24" i="110"/>
  <c r="Q23" i="110"/>
  <c r="Q22" i="110"/>
  <c r="Q21" i="110"/>
  <c r="A21" i="110"/>
  <c r="A32" i="110" s="1"/>
  <c r="Q20" i="110"/>
  <c r="A20" i="110"/>
  <c r="A31" i="110" s="1"/>
  <c r="Q19" i="110"/>
  <c r="A19" i="110"/>
  <c r="A30" i="110" s="1"/>
  <c r="Q18" i="110"/>
  <c r="A18" i="110"/>
  <c r="A29" i="110" s="1"/>
  <c r="Q17" i="110"/>
  <c r="A17" i="110"/>
  <c r="A28" i="110" s="1"/>
  <c r="Q16" i="110"/>
  <c r="A16" i="110"/>
  <c r="A27" i="110" s="1"/>
  <c r="Q15" i="110"/>
  <c r="A15" i="110"/>
  <c r="A26" i="110" s="1"/>
  <c r="Q14" i="110"/>
  <c r="Q13" i="110"/>
  <c r="Q12" i="110"/>
  <c r="Q11" i="110"/>
  <c r="Q10" i="110"/>
  <c r="Q9" i="110"/>
  <c r="Q8" i="110"/>
  <c r="Q7" i="110"/>
  <c r="Q6" i="110"/>
  <c r="Q5" i="110"/>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D4" i="102" l="1"/>
  <c r="G4" i="102" l="1"/>
  <c r="J4" i="102"/>
  <c r="G52" i="103" l="1"/>
  <c r="D265" i="103"/>
  <c r="F66" i="103"/>
  <c r="J157" i="103"/>
  <c r="F65" i="103"/>
  <c r="D142" i="103"/>
  <c r="I188" i="103"/>
  <c r="H271" i="103"/>
  <c r="J23" i="103"/>
  <c r="F166" i="103"/>
  <c r="D100" i="103"/>
  <c r="H225" i="103"/>
  <c r="F152" i="103"/>
  <c r="G279" i="103"/>
  <c r="D111" i="103"/>
  <c r="I194" i="103"/>
  <c r="F208" i="103"/>
  <c r="G150" i="103"/>
  <c r="F179" i="103"/>
  <c r="F79" i="103"/>
  <c r="H287" i="103"/>
  <c r="H268" i="103"/>
  <c r="D139" i="103"/>
  <c r="F220" i="103"/>
  <c r="G304" i="103"/>
  <c r="E24" i="103"/>
  <c r="E180" i="103"/>
  <c r="F325" i="103"/>
  <c r="G100" i="103"/>
  <c r="J266" i="103"/>
  <c r="J249" i="103"/>
  <c r="D296" i="103"/>
  <c r="G144" i="103"/>
  <c r="D41" i="103"/>
  <c r="D113" i="103"/>
  <c r="E98" i="103"/>
  <c r="I333" i="103"/>
  <c r="J251" i="103"/>
  <c r="J288" i="103"/>
  <c r="H111" i="103"/>
  <c r="I264" i="103"/>
  <c r="G68" i="103"/>
  <c r="E31" i="103"/>
  <c r="I143" i="103"/>
  <c r="J79" i="103"/>
  <c r="H241" i="103"/>
  <c r="E125" i="103"/>
  <c r="D161" i="103"/>
  <c r="E254" i="103"/>
  <c r="I192" i="103"/>
  <c r="F283" i="103"/>
  <c r="E221" i="103"/>
  <c r="G154" i="103"/>
  <c r="E321" i="103"/>
  <c r="H171" i="103"/>
  <c r="J31" i="103"/>
  <c r="H166" i="103"/>
  <c r="D192" i="103"/>
  <c r="G315" i="103"/>
  <c r="E284" i="103"/>
  <c r="G151" i="103"/>
  <c r="J206" i="103"/>
  <c r="E294" i="103"/>
  <c r="E283" i="103"/>
  <c r="G59" i="103"/>
  <c r="F26" i="103"/>
  <c r="E255" i="103"/>
  <c r="I99" i="103"/>
  <c r="J329" i="103"/>
  <c r="H41" i="103"/>
  <c r="E325" i="103"/>
  <c r="H177" i="103"/>
  <c r="J289" i="103"/>
  <c r="J235" i="103"/>
  <c r="D212" i="103"/>
  <c r="H231" i="103"/>
  <c r="J154" i="103"/>
  <c r="I104" i="103"/>
  <c r="H114" i="103"/>
  <c r="J77" i="103"/>
  <c r="J14" i="103"/>
  <c r="J246" i="103"/>
  <c r="I105" i="103"/>
  <c r="E6" i="103"/>
  <c r="F331" i="103"/>
  <c r="E9" i="103"/>
  <c r="D256" i="103"/>
  <c r="F212" i="103"/>
  <c r="H188" i="103"/>
  <c r="H233" i="103"/>
  <c r="E333" i="103"/>
  <c r="I97" i="103"/>
  <c r="D240" i="103"/>
  <c r="E177" i="103"/>
  <c r="E288" i="103"/>
  <c r="D10" i="103"/>
  <c r="G183" i="103"/>
  <c r="E307" i="103"/>
  <c r="G189" i="103"/>
  <c r="J198" i="103"/>
  <c r="D253" i="103"/>
  <c r="E91" i="103"/>
  <c r="D39" i="103"/>
  <c r="G15" i="103"/>
  <c r="F119" i="103"/>
  <c r="D74" i="103"/>
  <c r="I201" i="103"/>
  <c r="J317" i="103"/>
  <c r="E73" i="103"/>
  <c r="D153" i="103"/>
  <c r="G239" i="103"/>
  <c r="F20" i="103"/>
  <c r="E217" i="103"/>
  <c r="D300" i="103"/>
  <c r="H318" i="103"/>
  <c r="H31" i="103"/>
  <c r="G42" i="103"/>
  <c r="D77" i="103"/>
  <c r="H101" i="103"/>
  <c r="J10" i="103"/>
  <c r="J211" i="103"/>
  <c r="I199" i="103"/>
  <c r="G307" i="103"/>
  <c r="J219" i="103"/>
  <c r="G232" i="103"/>
  <c r="D125" i="103"/>
  <c r="I294" i="103"/>
  <c r="D104" i="103"/>
  <c r="I82" i="103"/>
  <c r="F296" i="103"/>
  <c r="J185" i="103"/>
  <c r="I108" i="103"/>
  <c r="E145" i="103"/>
  <c r="F87" i="103"/>
  <c r="E11" i="103"/>
  <c r="J80" i="103"/>
  <c r="G145" i="103"/>
  <c r="G46" i="103"/>
  <c r="G106" i="103"/>
  <c r="E237" i="103"/>
  <c r="F286" i="103"/>
  <c r="D175" i="103"/>
  <c r="G111" i="103"/>
  <c r="F5" i="103"/>
  <c r="G173" i="103"/>
  <c r="F316" i="103"/>
  <c r="D335" i="103"/>
  <c r="J277" i="103"/>
  <c r="E322" i="103"/>
  <c r="J100" i="103"/>
  <c r="J90" i="103"/>
  <c r="J169" i="103"/>
  <c r="J57" i="103"/>
  <c r="G132" i="103"/>
  <c r="G14" i="103"/>
  <c r="F126" i="103"/>
  <c r="G227" i="103"/>
  <c r="E150" i="103"/>
  <c r="F317" i="103"/>
  <c r="H220" i="103"/>
  <c r="J312" i="103"/>
  <c r="G313" i="103"/>
  <c r="D89" i="103"/>
  <c r="F311" i="103"/>
  <c r="G296" i="103"/>
  <c r="I181" i="103"/>
  <c r="I220" i="103"/>
  <c r="G33" i="103"/>
  <c r="F109" i="103"/>
  <c r="F112" i="103"/>
  <c r="J321" i="103"/>
  <c r="F255" i="103"/>
  <c r="F201" i="103"/>
  <c r="E317" i="103"/>
  <c r="F204" i="103"/>
  <c r="G271" i="103"/>
  <c r="E275" i="103"/>
  <c r="H221" i="103"/>
  <c r="E132" i="103"/>
  <c r="D320" i="103"/>
  <c r="F292" i="103"/>
  <c r="D293" i="103"/>
  <c r="J242" i="103"/>
  <c r="H217" i="103"/>
  <c r="F322" i="103"/>
  <c r="I182" i="103"/>
  <c r="H309" i="103"/>
  <c r="G276" i="103"/>
  <c r="I302" i="103"/>
  <c r="I95" i="103"/>
  <c r="I161" i="103"/>
  <c r="I325" i="103"/>
  <c r="G130" i="103"/>
  <c r="E19" i="103"/>
  <c r="E308" i="103"/>
  <c r="I171" i="103"/>
  <c r="E59" i="103"/>
  <c r="G210" i="103"/>
  <c r="H260" i="103"/>
  <c r="H289" i="103"/>
  <c r="D69" i="103"/>
  <c r="I206" i="103"/>
  <c r="D292" i="103"/>
  <c r="G74" i="103"/>
  <c r="F42" i="103"/>
  <c r="J24" i="103"/>
  <c r="I187" i="103"/>
  <c r="J245" i="103"/>
  <c r="J298" i="103"/>
  <c r="J330" i="103"/>
  <c r="F300" i="103"/>
  <c r="G88" i="103"/>
  <c r="G17" i="103"/>
  <c r="E28" i="103"/>
  <c r="H179" i="103"/>
  <c r="D68" i="103"/>
  <c r="J248" i="103"/>
  <c r="J159" i="103"/>
  <c r="F142" i="103"/>
  <c r="J67" i="103"/>
  <c r="I324" i="103"/>
  <c r="H254" i="103"/>
  <c r="F242" i="103"/>
  <c r="J304" i="103"/>
  <c r="I223" i="103"/>
  <c r="F257" i="103"/>
  <c r="F133" i="103"/>
  <c r="E85" i="103"/>
  <c r="E144" i="103"/>
  <c r="E245" i="103"/>
  <c r="H285" i="103"/>
  <c r="F124" i="103"/>
  <c r="E17" i="103"/>
  <c r="F249" i="103"/>
  <c r="E169" i="103"/>
  <c r="E141" i="103"/>
  <c r="I221" i="103"/>
  <c r="E311" i="103"/>
  <c r="J271" i="103"/>
  <c r="E33" i="103"/>
  <c r="F268" i="103"/>
  <c r="E130" i="103"/>
  <c r="J260" i="103"/>
  <c r="G51" i="103"/>
  <c r="E262" i="103"/>
  <c r="H321" i="103"/>
  <c r="I303" i="103"/>
  <c r="D124" i="103"/>
  <c r="F259" i="103"/>
  <c r="F287" i="103"/>
  <c r="D221" i="103"/>
  <c r="F116" i="103"/>
  <c r="I213" i="103"/>
  <c r="J195" i="103"/>
  <c r="E26" i="103"/>
  <c r="D107" i="103"/>
  <c r="I226" i="103"/>
  <c r="E179" i="103"/>
  <c r="F276" i="103"/>
  <c r="G213" i="103"/>
  <c r="F265" i="103"/>
  <c r="F289" i="103"/>
  <c r="G86" i="103"/>
  <c r="H51" i="103"/>
  <c r="G80" i="103"/>
  <c r="J45" i="103"/>
  <c r="J280" i="103"/>
  <c r="J297" i="103"/>
  <c r="F100" i="103"/>
  <c r="J37" i="103"/>
  <c r="G164" i="103"/>
  <c r="G26" i="103"/>
  <c r="F332" i="103"/>
  <c r="E168" i="103"/>
  <c r="J241" i="103"/>
  <c r="F207" i="103"/>
  <c r="D5" i="103"/>
  <c r="I238" i="103"/>
  <c r="H218" i="103"/>
  <c r="H83" i="103"/>
  <c r="G89" i="103"/>
  <c r="I152" i="103"/>
  <c r="G175" i="103"/>
  <c r="G119" i="103"/>
  <c r="H328" i="103"/>
  <c r="E248" i="103"/>
  <c r="G253" i="103"/>
  <c r="D270" i="103"/>
  <c r="H304" i="103"/>
  <c r="E267" i="103"/>
  <c r="G93" i="103"/>
  <c r="J44" i="103"/>
  <c r="J191" i="103"/>
  <c r="J300" i="103"/>
  <c r="F78" i="103"/>
  <c r="I110" i="103"/>
  <c r="H87" i="103"/>
  <c r="E289" i="103"/>
  <c r="I295" i="103"/>
  <c r="E286" i="103"/>
  <c r="E4" i="103"/>
  <c r="H75" i="103"/>
  <c r="J173" i="103"/>
  <c r="J225" i="103"/>
  <c r="D241" i="103"/>
  <c r="D319" i="103"/>
  <c r="D186" i="103"/>
  <c r="J294" i="103"/>
  <c r="G326" i="103"/>
  <c r="I231" i="103"/>
  <c r="E45" i="103"/>
  <c r="H164" i="103"/>
  <c r="J274" i="103"/>
  <c r="J240" i="103"/>
  <c r="I122" i="103"/>
  <c r="J217" i="103"/>
  <c r="G234" i="103"/>
  <c r="F89" i="103"/>
  <c r="H305" i="103"/>
  <c r="J253" i="103"/>
  <c r="I218" i="103"/>
  <c r="G146" i="103"/>
  <c r="H191" i="103"/>
  <c r="F4" i="103"/>
  <c r="G87" i="103"/>
  <c r="J54" i="103"/>
  <c r="I275" i="103"/>
  <c r="I215" i="103"/>
  <c r="E157" i="103"/>
  <c r="G118" i="103"/>
  <c r="I50" i="103"/>
  <c r="I279" i="103"/>
  <c r="D144" i="103"/>
  <c r="H264" i="103"/>
  <c r="I71" i="103"/>
  <c r="J155" i="103"/>
  <c r="H13" i="103"/>
  <c r="D43" i="103"/>
  <c r="F293" i="103"/>
  <c r="G178" i="103"/>
  <c r="D156" i="103"/>
  <c r="D306" i="103"/>
  <c r="D134" i="103"/>
  <c r="H7" i="103"/>
  <c r="D152" i="103"/>
  <c r="D326" i="103"/>
  <c r="E119" i="103"/>
  <c r="J139" i="103"/>
  <c r="F99" i="103"/>
  <c r="J315" i="103"/>
  <c r="J153" i="103"/>
  <c r="D250" i="103"/>
  <c r="J200" i="103"/>
  <c r="E279" i="103"/>
  <c r="E10" i="103"/>
  <c r="H96" i="103"/>
  <c r="G65" i="103"/>
  <c r="I89" i="103"/>
  <c r="J174" i="103"/>
  <c r="J239" i="103"/>
  <c r="E304" i="103"/>
  <c r="G95" i="103"/>
  <c r="J106" i="103"/>
  <c r="I198" i="103"/>
  <c r="I151" i="103"/>
  <c r="F108" i="103"/>
  <c r="I308" i="103"/>
  <c r="E200" i="103"/>
  <c r="D72" i="103"/>
  <c r="F308" i="103"/>
  <c r="J296" i="103"/>
  <c r="J26" i="103"/>
  <c r="I222" i="103"/>
  <c r="F114" i="103"/>
  <c r="F252" i="103"/>
  <c r="I76" i="103"/>
  <c r="D327" i="103"/>
  <c r="F190" i="103"/>
  <c r="F56" i="103"/>
  <c r="I281" i="103"/>
  <c r="G137" i="103"/>
  <c r="F157" i="103"/>
  <c r="G94" i="103"/>
  <c r="E244" i="103"/>
  <c r="D194" i="103"/>
  <c r="G71" i="103"/>
  <c r="I37" i="103"/>
  <c r="G166" i="103"/>
  <c r="D164" i="103"/>
  <c r="F35" i="103"/>
  <c r="H199" i="103"/>
  <c r="J231" i="103"/>
  <c r="I101" i="103"/>
  <c r="E323" i="103"/>
  <c r="D3" i="103"/>
  <c r="I210" i="103"/>
  <c r="G297" i="103"/>
  <c r="H97" i="103"/>
  <c r="I154" i="103"/>
  <c r="E101" i="103"/>
  <c r="I306" i="103"/>
  <c r="D106" i="103"/>
  <c r="E331" i="103"/>
  <c r="E201" i="103"/>
  <c r="J96" i="103"/>
  <c r="J145" i="103"/>
  <c r="J111" i="103"/>
  <c r="G289" i="103"/>
  <c r="G312" i="103"/>
  <c r="D73" i="103"/>
  <c r="D334" i="103"/>
  <c r="D280" i="103"/>
  <c r="F67" i="103"/>
  <c r="G216" i="103"/>
  <c r="E40" i="103"/>
  <c r="F217" i="103"/>
  <c r="E194" i="103"/>
  <c r="D220" i="103"/>
  <c r="G171" i="103"/>
  <c r="G62" i="103"/>
  <c r="F183" i="103"/>
  <c r="F50" i="103"/>
  <c r="E50" i="103"/>
  <c r="G159" i="103"/>
  <c r="H155" i="103"/>
  <c r="I67" i="103"/>
  <c r="D87" i="103"/>
  <c r="J205" i="103"/>
  <c r="D313" i="103"/>
  <c r="J53" i="103"/>
  <c r="G268" i="103"/>
  <c r="F298" i="103"/>
  <c r="J73" i="103"/>
  <c r="I80" i="103"/>
  <c r="J229" i="103"/>
  <c r="F60" i="103"/>
  <c r="G267" i="103"/>
  <c r="J264" i="103"/>
  <c r="E139" i="103"/>
  <c r="G64" i="103"/>
  <c r="E44" i="103"/>
  <c r="F237" i="103"/>
  <c r="E328" i="103"/>
  <c r="G212" i="103"/>
  <c r="F312" i="103"/>
  <c r="F228" i="103"/>
  <c r="F159" i="103"/>
  <c r="H25" i="103"/>
  <c r="G292" i="103"/>
  <c r="G224" i="103"/>
  <c r="I28" i="103"/>
  <c r="I292" i="103"/>
  <c r="E218" i="103"/>
  <c r="G19" i="103"/>
  <c r="F215" i="103"/>
  <c r="I90" i="103"/>
  <c r="I19" i="103"/>
  <c r="J124" i="103"/>
  <c r="I285" i="103"/>
  <c r="J147" i="103"/>
  <c r="I42" i="103"/>
  <c r="F40" i="103"/>
  <c r="E71" i="103"/>
  <c r="D53" i="103"/>
  <c r="D332" i="103"/>
  <c r="H181" i="103"/>
  <c r="G181" i="103"/>
  <c r="D143" i="103"/>
  <c r="H69" i="103"/>
  <c r="F277" i="103"/>
  <c r="J228" i="103"/>
  <c r="I255" i="103"/>
  <c r="G160" i="103"/>
  <c r="E202" i="103"/>
  <c r="J272" i="103"/>
  <c r="H248" i="103"/>
  <c r="D181" i="103"/>
  <c r="I52" i="103"/>
  <c r="I244" i="103"/>
  <c r="E160" i="103"/>
  <c r="D179" i="103"/>
  <c r="I13" i="103"/>
  <c r="I124" i="103"/>
  <c r="H65" i="103"/>
  <c r="J201" i="103"/>
  <c r="D80" i="103"/>
  <c r="H17" i="103"/>
  <c r="J212" i="103"/>
  <c r="I69" i="103"/>
  <c r="H113" i="103"/>
  <c r="J82" i="103"/>
  <c r="D119" i="103"/>
  <c r="G240" i="103"/>
  <c r="H124" i="103"/>
  <c r="J324" i="103"/>
  <c r="E118" i="103"/>
  <c r="F90" i="103"/>
  <c r="D239" i="103"/>
  <c r="E15" i="103"/>
  <c r="F7" i="103"/>
  <c r="F164" i="103"/>
  <c r="H185" i="103"/>
  <c r="I184" i="103"/>
  <c r="I252" i="103"/>
  <c r="H249" i="103"/>
  <c r="H77" i="103"/>
  <c r="F154" i="103"/>
  <c r="I249" i="103"/>
  <c r="F151" i="103"/>
  <c r="H86" i="103"/>
  <c r="H302" i="103"/>
  <c r="D310" i="103"/>
  <c r="H147" i="103"/>
  <c r="I247" i="103"/>
  <c r="I3" i="103"/>
  <c r="F305" i="103"/>
  <c r="D176" i="103"/>
  <c r="J267" i="103"/>
  <c r="H136" i="103"/>
  <c r="I290" i="103"/>
  <c r="D15" i="103"/>
  <c r="G142" i="103"/>
  <c r="D17" i="103"/>
  <c r="J27" i="103"/>
  <c r="G28" i="103"/>
  <c r="F285" i="103"/>
  <c r="I142" i="103"/>
  <c r="H174" i="103"/>
  <c r="E105" i="103"/>
  <c r="H6" i="103"/>
  <c r="D184" i="103"/>
  <c r="J15" i="103"/>
  <c r="G107" i="103"/>
  <c r="I148" i="103"/>
  <c r="D147" i="103"/>
  <c r="I219" i="103"/>
  <c r="J292" i="103"/>
  <c r="G123" i="103"/>
  <c r="H330" i="103"/>
  <c r="I103" i="103"/>
  <c r="E8" i="103"/>
  <c r="I307" i="103"/>
  <c r="J21" i="103"/>
  <c r="I47" i="103"/>
  <c r="D150" i="103"/>
  <c r="G152" i="103"/>
  <c r="D213" i="103"/>
  <c r="G90" i="103"/>
  <c r="J41" i="103"/>
  <c r="G252" i="103"/>
  <c r="I300" i="103"/>
  <c r="F93" i="103"/>
  <c r="F267" i="103"/>
  <c r="J172" i="103"/>
  <c r="D122" i="103"/>
  <c r="I287" i="103"/>
  <c r="E184" i="103"/>
  <c r="E58" i="103"/>
  <c r="J32" i="103"/>
  <c r="H278" i="103"/>
  <c r="H215" i="103"/>
  <c r="H234" i="103"/>
  <c r="J213" i="103"/>
  <c r="I60" i="103"/>
  <c r="E18" i="103"/>
  <c r="J180" i="103"/>
  <c r="J197" i="103"/>
  <c r="E302" i="103"/>
  <c r="D88" i="103"/>
  <c r="I85" i="103"/>
  <c r="D177" i="103"/>
  <c r="D163" i="103"/>
  <c r="I268" i="103"/>
  <c r="I328" i="103"/>
  <c r="I145" i="103"/>
  <c r="D274" i="103"/>
  <c r="J64" i="103"/>
  <c r="D211" i="103"/>
  <c r="D11" i="103"/>
  <c r="H196" i="103"/>
  <c r="D45" i="103"/>
  <c r="J148" i="103"/>
  <c r="J28" i="103"/>
  <c r="H60" i="103"/>
  <c r="D81" i="103"/>
  <c r="J194" i="103"/>
  <c r="E249" i="103"/>
  <c r="G112" i="103"/>
  <c r="D95" i="103"/>
  <c r="J233" i="103"/>
  <c r="F333" i="103"/>
  <c r="D30" i="103"/>
  <c r="H54" i="103"/>
  <c r="E51" i="103"/>
  <c r="F82" i="103"/>
  <c r="I321" i="103"/>
  <c r="H130" i="103"/>
  <c r="J29" i="103"/>
  <c r="D67" i="103"/>
  <c r="G322" i="103"/>
  <c r="G73" i="103"/>
  <c r="E228" i="103"/>
  <c r="G7" i="103"/>
  <c r="H161" i="103"/>
  <c r="I155" i="103"/>
  <c r="E260" i="103"/>
  <c r="F72" i="103"/>
  <c r="F120" i="103"/>
  <c r="G237" i="103"/>
  <c r="F165" i="103"/>
  <c r="F57" i="103"/>
  <c r="G41" i="103"/>
  <c r="D309" i="103"/>
  <c r="D85" i="103"/>
  <c r="G328" i="103"/>
  <c r="F84" i="103"/>
  <c r="G69" i="103"/>
  <c r="H310" i="103"/>
  <c r="F123" i="103"/>
  <c r="D102" i="103"/>
  <c r="I173" i="103"/>
  <c r="J36" i="103"/>
  <c r="I149" i="103"/>
  <c r="J278" i="103"/>
  <c r="E136" i="103"/>
  <c r="F33" i="103"/>
  <c r="H273" i="103"/>
  <c r="J150" i="103"/>
  <c r="H252" i="103"/>
  <c r="J237" i="103"/>
  <c r="I207" i="103"/>
  <c r="G48" i="103"/>
  <c r="J252" i="103"/>
  <c r="D155" i="103"/>
  <c r="J131" i="103"/>
  <c r="E195" i="103"/>
  <c r="H12" i="103"/>
  <c r="D216" i="103"/>
  <c r="D135" i="103"/>
  <c r="J284" i="103"/>
  <c r="E230" i="103"/>
  <c r="D110" i="103"/>
  <c r="H184" i="103"/>
  <c r="E310" i="103"/>
  <c r="I323" i="103"/>
  <c r="H146" i="103"/>
  <c r="F94" i="103"/>
  <c r="D127" i="103"/>
  <c r="E239" i="103"/>
  <c r="H89" i="103"/>
  <c r="F199" i="103"/>
  <c r="J47" i="103"/>
  <c r="F177" i="103"/>
  <c r="F15" i="103"/>
  <c r="I15" i="103"/>
  <c r="H131" i="103"/>
  <c r="G167" i="103"/>
  <c r="I335" i="103"/>
  <c r="F6" i="103"/>
  <c r="J66" i="103"/>
  <c r="E269" i="103"/>
  <c r="D162" i="103"/>
  <c r="D246" i="103"/>
  <c r="F295" i="103"/>
  <c r="F88" i="103"/>
  <c r="J86" i="103"/>
  <c r="D146" i="103"/>
  <c r="I164" i="103"/>
  <c r="F181" i="103"/>
  <c r="J171" i="103"/>
  <c r="F51" i="103"/>
  <c r="E203" i="103"/>
  <c r="J259" i="103"/>
  <c r="J88" i="103"/>
  <c r="E106" i="103"/>
  <c r="D101" i="103"/>
  <c r="H133" i="103"/>
  <c r="H92" i="103"/>
  <c r="J319" i="103"/>
  <c r="E332" i="103"/>
  <c r="H281" i="103"/>
  <c r="J113" i="103"/>
  <c r="E277" i="103"/>
  <c r="I114" i="103"/>
  <c r="F271" i="103"/>
  <c r="G147" i="103"/>
  <c r="I107" i="103"/>
  <c r="H198" i="103"/>
  <c r="I131" i="103"/>
  <c r="H62" i="103"/>
  <c r="J70" i="103"/>
  <c r="E247" i="103"/>
  <c r="D37" i="103"/>
  <c r="I191" i="103"/>
  <c r="D202" i="103"/>
  <c r="D324" i="103"/>
  <c r="I317" i="103"/>
  <c r="D136" i="103"/>
  <c r="G302" i="103"/>
  <c r="H187" i="103"/>
  <c r="H267" i="103"/>
  <c r="D251" i="103"/>
  <c r="E172" i="103"/>
  <c r="I258" i="103"/>
  <c r="G50" i="103"/>
  <c r="F163" i="103"/>
  <c r="H123" i="103"/>
  <c r="H74" i="103"/>
  <c r="E16" i="103"/>
  <c r="E32" i="103"/>
  <c r="D32" i="103"/>
  <c r="G303" i="103"/>
  <c r="I316" i="103"/>
  <c r="I87" i="103"/>
  <c r="I9" i="103"/>
  <c r="E293" i="103"/>
  <c r="E7" i="103"/>
  <c r="I72" i="103"/>
  <c r="H150" i="103"/>
  <c r="H37" i="103"/>
  <c r="F186" i="103"/>
  <c r="H58" i="103"/>
  <c r="G215" i="103"/>
  <c r="J140" i="103"/>
  <c r="G16" i="103"/>
  <c r="G162" i="103"/>
  <c r="I212" i="103"/>
  <c r="E192" i="103"/>
  <c r="D105" i="103"/>
  <c r="I29" i="103"/>
  <c r="D137" i="103"/>
  <c r="F175" i="103"/>
  <c r="G4" i="103"/>
  <c r="J130" i="103"/>
  <c r="D56" i="103"/>
  <c r="G207" i="103"/>
  <c r="G193" i="103"/>
  <c r="J305" i="103"/>
  <c r="E53" i="103"/>
  <c r="F113" i="103"/>
  <c r="G263" i="103"/>
  <c r="I168" i="103"/>
  <c r="G60" i="103"/>
  <c r="D126" i="103"/>
  <c r="J258" i="103"/>
  <c r="G314" i="103"/>
  <c r="J8" i="103"/>
  <c r="H314" i="103"/>
  <c r="I48" i="103"/>
  <c r="G316" i="103"/>
  <c r="E174" i="103"/>
  <c r="E271" i="103"/>
  <c r="J179" i="103"/>
  <c r="E290" i="103"/>
  <c r="H159" i="103"/>
  <c r="I178" i="103"/>
  <c r="H84" i="103"/>
  <c r="E178" i="103"/>
  <c r="E69" i="103"/>
  <c r="E147" i="103"/>
  <c r="H127" i="103"/>
  <c r="J214" i="103"/>
  <c r="G318" i="103"/>
  <c r="I127" i="103"/>
  <c r="E5" i="103"/>
  <c r="J25" i="103"/>
  <c r="D255" i="103"/>
  <c r="H211" i="103"/>
  <c r="G305" i="103"/>
  <c r="D50" i="103"/>
  <c r="F118" i="103"/>
  <c r="D62" i="103"/>
  <c r="D96" i="103"/>
  <c r="F117" i="103"/>
  <c r="G310" i="103"/>
  <c r="H214" i="103"/>
  <c r="I73" i="103"/>
  <c r="H125" i="103"/>
  <c r="I86" i="103"/>
  <c r="F169" i="103"/>
  <c r="I59" i="103"/>
  <c r="I130" i="103"/>
  <c r="F239" i="103"/>
  <c r="I64" i="103"/>
  <c r="G47" i="103"/>
  <c r="E76" i="103"/>
  <c r="G76" i="103"/>
  <c r="G99" i="103"/>
  <c r="E206" i="103"/>
  <c r="J35" i="103"/>
  <c r="F218" i="103"/>
  <c r="E187" i="103"/>
  <c r="E131" i="103"/>
  <c r="J161" i="103"/>
  <c r="H297" i="103"/>
  <c r="I44" i="103"/>
  <c r="H236" i="103"/>
  <c r="G256" i="103"/>
  <c r="H247" i="103"/>
  <c r="H283" i="103"/>
  <c r="E94" i="103"/>
  <c r="H117" i="103"/>
  <c r="J247" i="103"/>
  <c r="I288" i="103"/>
  <c r="F24" i="103"/>
  <c r="H48" i="103"/>
  <c r="F107" i="103"/>
  <c r="H245" i="103"/>
  <c r="F273" i="103"/>
  <c r="J81" i="103"/>
  <c r="H315" i="103"/>
  <c r="J102" i="103"/>
  <c r="J58" i="103"/>
  <c r="H208" i="103"/>
  <c r="F279" i="103"/>
  <c r="F136" i="103"/>
  <c r="E103" i="103"/>
  <c r="G184" i="103"/>
  <c r="H134" i="103"/>
  <c r="E95" i="103"/>
  <c r="J224" i="103"/>
  <c r="F97" i="103"/>
  <c r="E291" i="103"/>
  <c r="F323" i="103"/>
  <c r="G165" i="103"/>
  <c r="J316" i="103"/>
  <c r="H210" i="103"/>
  <c r="G78" i="103"/>
  <c r="G45" i="103"/>
  <c r="E158" i="103"/>
  <c r="F258" i="103"/>
  <c r="G241" i="103"/>
  <c r="J334" i="103"/>
  <c r="D318" i="103"/>
  <c r="E156" i="103"/>
  <c r="I123" i="103"/>
  <c r="J12" i="103"/>
  <c r="H129" i="103"/>
  <c r="H299" i="103"/>
  <c r="J97" i="103"/>
  <c r="E287" i="103"/>
  <c r="J121" i="103"/>
  <c r="H288" i="103"/>
  <c r="G129" i="103"/>
  <c r="F203" i="103"/>
  <c r="F121" i="103"/>
  <c r="H73" i="103"/>
  <c r="D231" i="103"/>
  <c r="J103" i="103"/>
  <c r="E165" i="103"/>
  <c r="J136" i="103"/>
  <c r="G61" i="103"/>
  <c r="J283" i="103"/>
  <c r="I4" i="103"/>
  <c r="D14" i="103"/>
  <c r="I144" i="103"/>
  <c r="D138" i="103"/>
  <c r="G200" i="103"/>
  <c r="J182" i="103"/>
  <c r="D4" i="103"/>
  <c r="J183" i="103"/>
  <c r="E112" i="103"/>
  <c r="J118" i="103"/>
  <c r="D199" i="103"/>
  <c r="J61" i="103"/>
  <c r="G57" i="103"/>
  <c r="G72" i="103"/>
  <c r="E3" i="103"/>
  <c r="I301" i="103"/>
  <c r="G49" i="103"/>
  <c r="F16" i="103"/>
  <c r="J276" i="103"/>
  <c r="D275" i="103"/>
  <c r="I25" i="103"/>
  <c r="G269" i="103"/>
  <c r="E314" i="103"/>
  <c r="H148" i="103"/>
  <c r="G284" i="103"/>
  <c r="H269" i="103"/>
  <c r="H250" i="103"/>
  <c r="F209" i="103"/>
  <c r="H279" i="103"/>
  <c r="I10" i="103"/>
  <c r="G109" i="103"/>
  <c r="H300" i="103"/>
  <c r="I190" i="103"/>
  <c r="E225" i="103"/>
  <c r="G21" i="103"/>
  <c r="H242" i="103"/>
  <c r="I329" i="103"/>
  <c r="I272" i="103"/>
  <c r="G280" i="103"/>
  <c r="I208" i="103"/>
  <c r="J192" i="103"/>
  <c r="E173" i="103"/>
  <c r="J43" i="103"/>
  <c r="J299" i="103"/>
  <c r="I35" i="103"/>
  <c r="H43" i="103"/>
  <c r="F256" i="103"/>
  <c r="D82" i="103"/>
  <c r="D232" i="103"/>
  <c r="D117" i="103"/>
  <c r="D141" i="103"/>
  <c r="E316" i="103"/>
  <c r="F229" i="103"/>
  <c r="I79" i="103"/>
  <c r="I200" i="103"/>
  <c r="D290" i="103"/>
  <c r="J250" i="103"/>
  <c r="J38" i="103"/>
  <c r="G248" i="103"/>
  <c r="F162" i="103"/>
  <c r="I318" i="103"/>
  <c r="F83" i="103"/>
  <c r="E162" i="103"/>
  <c r="E68" i="103"/>
  <c r="G245" i="103"/>
  <c r="J323" i="103"/>
  <c r="F180" i="103"/>
  <c r="J203" i="103"/>
  <c r="D157" i="103"/>
  <c r="J51" i="103"/>
  <c r="J109" i="103"/>
  <c r="D116" i="103"/>
  <c r="J101" i="103"/>
  <c r="G5" i="103"/>
  <c r="D174" i="103"/>
  <c r="H320" i="103"/>
  <c r="I117" i="103"/>
  <c r="J19" i="103"/>
  <c r="E110" i="103"/>
  <c r="I51" i="103"/>
  <c r="G275" i="103"/>
  <c r="I92" i="103"/>
  <c r="E140" i="103"/>
  <c r="H19" i="103"/>
  <c r="G81" i="103"/>
  <c r="J257" i="103"/>
  <c r="I204" i="103"/>
  <c r="J127" i="103"/>
  <c r="H122" i="103"/>
  <c r="J34" i="103"/>
  <c r="D219" i="103"/>
  <c r="D108" i="103"/>
  <c r="J332" i="103"/>
  <c r="H55" i="103"/>
  <c r="G120" i="103"/>
  <c r="I214" i="103"/>
  <c r="G211" i="103"/>
  <c r="H162" i="103"/>
  <c r="D238" i="103"/>
  <c r="E189" i="103"/>
  <c r="D228" i="103"/>
  <c r="I150" i="103"/>
  <c r="H228" i="103"/>
  <c r="D206" i="103"/>
  <c r="I286" i="103"/>
  <c r="E175" i="103"/>
  <c r="I197" i="103"/>
  <c r="G219" i="103"/>
  <c r="G75" i="103"/>
  <c r="G236" i="103"/>
  <c r="G294" i="103"/>
  <c r="H222" i="103"/>
  <c r="E113" i="103"/>
  <c r="F105" i="103"/>
  <c r="F192" i="103"/>
  <c r="G186" i="103"/>
  <c r="H142" i="103"/>
  <c r="I126" i="103"/>
  <c r="G6" i="103"/>
  <c r="G22" i="103"/>
  <c r="J207" i="103"/>
  <c r="H39" i="103"/>
  <c r="I102" i="103"/>
  <c r="I189" i="103"/>
  <c r="F30" i="103"/>
  <c r="G244" i="103"/>
  <c r="E299" i="103"/>
  <c r="G3" i="103"/>
  <c r="G70" i="103"/>
  <c r="J261" i="103"/>
  <c r="D120" i="103"/>
  <c r="E74" i="103"/>
  <c r="F129" i="103"/>
  <c r="H238" i="103"/>
  <c r="F85" i="103"/>
  <c r="J143" i="103"/>
  <c r="H15" i="103"/>
  <c r="D249" i="103"/>
  <c r="D8" i="103"/>
  <c r="J94" i="103"/>
  <c r="F313" i="103"/>
  <c r="E163" i="103"/>
  <c r="J87" i="103"/>
  <c r="F302" i="103"/>
  <c r="E198" i="103"/>
  <c r="D173" i="103"/>
  <c r="D317" i="103"/>
  <c r="H235" i="103"/>
  <c r="F153" i="103"/>
  <c r="D33" i="103"/>
  <c r="J92" i="103"/>
  <c r="H33" i="103"/>
  <c r="I31" i="103"/>
  <c r="J108" i="103"/>
  <c r="I116" i="103"/>
  <c r="F95" i="103"/>
  <c r="F330" i="103"/>
  <c r="J135" i="103"/>
  <c r="D140" i="103"/>
  <c r="F53" i="103"/>
  <c r="D279" i="103"/>
  <c r="D114" i="103"/>
  <c r="D109" i="103"/>
  <c r="F115" i="103"/>
  <c r="J160" i="103"/>
  <c r="J50" i="103"/>
  <c r="H24" i="103"/>
  <c r="D234" i="103"/>
  <c r="H332" i="103"/>
  <c r="E78" i="103"/>
  <c r="D29" i="103"/>
  <c r="F195" i="103"/>
  <c r="G218" i="103"/>
  <c r="I176" i="103"/>
  <c r="E27" i="103"/>
  <c r="D172" i="103"/>
  <c r="I63" i="103"/>
  <c r="G229" i="103"/>
  <c r="I53" i="103"/>
  <c r="I277" i="103"/>
  <c r="D76" i="103"/>
  <c r="G13" i="103"/>
  <c r="D252" i="103"/>
  <c r="H59" i="103"/>
  <c r="I265" i="103"/>
  <c r="D201" i="103"/>
  <c r="D35" i="103"/>
  <c r="I185" i="103"/>
  <c r="G53" i="103"/>
  <c r="H151" i="103"/>
  <c r="H80" i="103"/>
  <c r="E209" i="103"/>
  <c r="F140" i="103"/>
  <c r="J18" i="103"/>
  <c r="E47" i="103"/>
  <c r="E303" i="103"/>
  <c r="H224" i="103"/>
  <c r="J238" i="103"/>
  <c r="F188" i="103"/>
  <c r="G223" i="103"/>
  <c r="H21" i="103"/>
  <c r="F200" i="103"/>
  <c r="E70" i="103"/>
  <c r="I234" i="103"/>
  <c r="J141" i="103"/>
  <c r="H79" i="103"/>
  <c r="F23" i="103"/>
  <c r="F103" i="103"/>
  <c r="J222" i="103"/>
  <c r="I241" i="103"/>
  <c r="E116" i="103"/>
  <c r="I119" i="103"/>
  <c r="D203" i="103"/>
  <c r="D189" i="103"/>
  <c r="D24" i="103"/>
  <c r="H47" i="103"/>
  <c r="G233" i="103"/>
  <c r="I22" i="103"/>
  <c r="E127" i="103"/>
  <c r="H78" i="103"/>
  <c r="J62" i="103"/>
  <c r="G309" i="103"/>
  <c r="F245" i="103"/>
  <c r="F44" i="103"/>
  <c r="G39" i="103"/>
  <c r="D171" i="103"/>
  <c r="H118" i="103"/>
  <c r="J199" i="103"/>
  <c r="H202" i="103"/>
  <c r="E215" i="103"/>
  <c r="E63" i="103"/>
  <c r="E199" i="103"/>
  <c r="I111" i="103"/>
  <c r="G325" i="103"/>
  <c r="E67" i="103"/>
  <c r="H64" i="103"/>
  <c r="G331" i="103"/>
  <c r="H239" i="103"/>
  <c r="F21" i="103"/>
  <c r="G330" i="103"/>
  <c r="H253" i="103"/>
  <c r="E82" i="103"/>
  <c r="F122" i="103"/>
  <c r="G246" i="103"/>
  <c r="F47" i="103"/>
  <c r="G136" i="103"/>
  <c r="E159" i="103"/>
  <c r="D330" i="103"/>
  <c r="G124" i="103"/>
  <c r="D267" i="103"/>
  <c r="F63" i="103"/>
  <c r="J202" i="103"/>
  <c r="F17" i="103"/>
  <c r="F211" i="103"/>
  <c r="I311" i="103"/>
  <c r="G217" i="103"/>
  <c r="G77" i="103"/>
  <c r="F39" i="103"/>
  <c r="J318" i="103"/>
  <c r="G335" i="103"/>
  <c r="E48" i="103"/>
  <c r="H103" i="103"/>
  <c r="I315" i="103"/>
  <c r="I267" i="103"/>
  <c r="D91" i="103"/>
  <c r="H237" i="103"/>
  <c r="G115" i="103"/>
  <c r="F41" i="103"/>
  <c r="F141" i="103"/>
  <c r="G12" i="103"/>
  <c r="I257" i="103"/>
  <c r="G225" i="103"/>
  <c r="F275" i="103"/>
  <c r="D328" i="103"/>
  <c r="E167" i="103"/>
  <c r="H176" i="103"/>
  <c r="H291" i="103"/>
  <c r="F241" i="103"/>
  <c r="G102" i="103"/>
  <c r="J68" i="103"/>
  <c r="G273" i="103"/>
  <c r="J152" i="103"/>
  <c r="J325" i="103"/>
  <c r="J120" i="103"/>
  <c r="I125" i="103"/>
  <c r="E87" i="103"/>
  <c r="H135" i="103"/>
  <c r="E274" i="103"/>
  <c r="G278" i="103"/>
  <c r="H173" i="103"/>
  <c r="I248" i="103"/>
  <c r="F307" i="103"/>
  <c r="J60" i="103"/>
  <c r="I280" i="103"/>
  <c r="I17" i="103"/>
  <c r="E55" i="103"/>
  <c r="I183" i="103"/>
  <c r="E212" i="103"/>
  <c r="H230" i="103"/>
  <c r="I299" i="103"/>
  <c r="G172" i="103"/>
  <c r="D44" i="103"/>
  <c r="J134" i="103"/>
  <c r="F52" i="103"/>
  <c r="J286" i="103"/>
  <c r="I36" i="103"/>
  <c r="D9" i="103"/>
  <c r="J149" i="103"/>
  <c r="G105" i="103"/>
  <c r="F178" i="103"/>
  <c r="J236" i="103"/>
  <c r="H140" i="103"/>
  <c r="D21" i="103"/>
  <c r="J83" i="103"/>
  <c r="H272" i="103"/>
  <c r="F303" i="103"/>
  <c r="F13" i="103"/>
  <c r="I180" i="103"/>
  <c r="I312" i="103"/>
  <c r="E313" i="103"/>
  <c r="H50" i="103"/>
  <c r="J40" i="103"/>
  <c r="J129" i="103"/>
  <c r="I260" i="103"/>
  <c r="I109" i="103"/>
  <c r="D271" i="103"/>
  <c r="F8" i="103"/>
  <c r="I135" i="103"/>
  <c r="E77" i="103"/>
  <c r="E117" i="103"/>
  <c r="H263" i="103"/>
  <c r="F223" i="103"/>
  <c r="F168" i="103"/>
  <c r="J313" i="103"/>
  <c r="F92" i="103"/>
  <c r="H40" i="103"/>
  <c r="F156" i="103"/>
  <c r="H67" i="103"/>
  <c r="H190" i="103"/>
  <c r="D70" i="103"/>
  <c r="D16" i="103"/>
  <c r="G220" i="103"/>
  <c r="G83" i="103"/>
  <c r="H312" i="103"/>
  <c r="I147" i="103"/>
  <c r="G251" i="103"/>
  <c r="G288" i="103"/>
  <c r="E208" i="103"/>
  <c r="J93" i="103"/>
  <c r="G238" i="103"/>
  <c r="D42" i="103"/>
  <c r="F213" i="103"/>
  <c r="F74" i="103"/>
  <c r="J208" i="103"/>
  <c r="F36" i="103"/>
  <c r="H280" i="103"/>
  <c r="D258" i="103"/>
  <c r="F238" i="103"/>
  <c r="F32" i="103"/>
  <c r="G320" i="103"/>
  <c r="F134" i="103"/>
  <c r="J215" i="103"/>
  <c r="E250" i="103"/>
  <c r="E64" i="103"/>
  <c r="H193" i="103"/>
  <c r="I39" i="103"/>
  <c r="G202" i="103"/>
  <c r="F145" i="103"/>
  <c r="J107" i="103"/>
  <c r="E39" i="103"/>
  <c r="E37" i="103"/>
  <c r="H325" i="103"/>
  <c r="H57" i="103"/>
  <c r="H284" i="103"/>
  <c r="G10" i="103"/>
  <c r="G250" i="103"/>
  <c r="F80" i="103"/>
  <c r="E61" i="103"/>
  <c r="G311" i="103"/>
  <c r="F246" i="103"/>
  <c r="D166" i="103"/>
  <c r="D247" i="103"/>
  <c r="E309" i="103"/>
  <c r="J5" i="103"/>
  <c r="E75" i="103"/>
  <c r="D278" i="103"/>
  <c r="J186" i="103"/>
  <c r="G197" i="103"/>
  <c r="H119" i="103"/>
  <c r="I209" i="103"/>
  <c r="I205" i="103"/>
  <c r="E143" i="103"/>
  <c r="I250" i="103"/>
  <c r="F96" i="103"/>
  <c r="J105" i="103"/>
  <c r="F297" i="103"/>
  <c r="D49" i="103"/>
  <c r="E46" i="103"/>
  <c r="H259" i="103"/>
  <c r="H154" i="103"/>
  <c r="D51" i="103"/>
  <c r="G222" i="103"/>
  <c r="G116" i="103"/>
  <c r="I296" i="103"/>
  <c r="J223" i="103"/>
  <c r="I276" i="103"/>
  <c r="I269" i="103"/>
  <c r="G161" i="103"/>
  <c r="J112" i="103"/>
  <c r="H308" i="103"/>
  <c r="J244" i="103"/>
  <c r="D54" i="103"/>
  <c r="D78" i="103"/>
  <c r="J221" i="103"/>
  <c r="D244" i="103"/>
  <c r="D297" i="103"/>
  <c r="D133" i="103"/>
  <c r="J218" i="103"/>
  <c r="J193" i="103"/>
  <c r="J33" i="103"/>
  <c r="G208" i="103"/>
  <c r="H11" i="103"/>
  <c r="H163" i="103"/>
  <c r="F185" i="103"/>
  <c r="G43" i="103"/>
  <c r="I273" i="103"/>
  <c r="E219" i="103"/>
  <c r="D167" i="103"/>
  <c r="E86" i="103"/>
  <c r="F58" i="103"/>
  <c r="G157" i="103"/>
  <c r="F278" i="103"/>
  <c r="G84" i="103"/>
  <c r="E114" i="103"/>
  <c r="H38" i="103"/>
  <c r="F48" i="103"/>
  <c r="J314" i="103"/>
  <c r="E320" i="103"/>
  <c r="H203" i="103"/>
  <c r="G155" i="103"/>
  <c r="E295" i="103"/>
  <c r="E306" i="103"/>
  <c r="G158" i="103"/>
  <c r="J48" i="103"/>
  <c r="D180" i="103"/>
  <c r="D64" i="103"/>
  <c r="F193" i="103"/>
  <c r="I6" i="103"/>
  <c r="D94" i="103"/>
  <c r="J326" i="103"/>
  <c r="I263" i="103"/>
  <c r="G23" i="103"/>
  <c r="G148" i="103"/>
  <c r="J42" i="103"/>
  <c r="H99" i="103"/>
  <c r="F19" i="103"/>
  <c r="G198" i="103"/>
  <c r="I236" i="103"/>
  <c r="J132" i="103"/>
  <c r="I271" i="103"/>
  <c r="F106" i="103"/>
  <c r="E81" i="103"/>
  <c r="F231" i="103"/>
  <c r="G131" i="103"/>
  <c r="I172" i="103"/>
  <c r="I14" i="103"/>
  <c r="G169" i="103"/>
  <c r="D187" i="103"/>
  <c r="I129" i="103"/>
  <c r="D303" i="103"/>
  <c r="I233" i="103"/>
  <c r="G201" i="103"/>
  <c r="E252" i="103"/>
  <c r="E21" i="103"/>
  <c r="F254" i="103"/>
  <c r="D58" i="103"/>
  <c r="E14" i="103"/>
  <c r="I319" i="103"/>
  <c r="H116" i="103"/>
  <c r="J176" i="103"/>
  <c r="E220" i="103"/>
  <c r="F127" i="103"/>
  <c r="I305" i="103"/>
  <c r="H61" i="103"/>
  <c r="E214" i="103"/>
  <c r="J234" i="103"/>
  <c r="I266" i="103"/>
  <c r="E183" i="103"/>
  <c r="J122" i="103"/>
  <c r="F310" i="103"/>
  <c r="E124" i="103"/>
  <c r="J290" i="103"/>
  <c r="J285" i="103"/>
  <c r="G334" i="103"/>
  <c r="I146" i="103"/>
  <c r="E268" i="103"/>
  <c r="H266" i="103"/>
  <c r="G300" i="103"/>
  <c r="H91" i="103"/>
  <c r="E231" i="103"/>
  <c r="G259" i="103"/>
  <c r="J46" i="103"/>
  <c r="I81" i="103"/>
  <c r="G63" i="103"/>
  <c r="J293" i="103"/>
  <c r="H292" i="103"/>
  <c r="I332" i="103"/>
  <c r="J279" i="103"/>
  <c r="D321" i="103"/>
  <c r="D71" i="103"/>
  <c r="J89" i="103"/>
  <c r="F91" i="103"/>
  <c r="D12" i="103"/>
  <c r="H10" i="103"/>
  <c r="E161" i="103"/>
  <c r="H186" i="103"/>
  <c r="H295" i="103"/>
  <c r="G262" i="103"/>
  <c r="H52" i="103"/>
  <c r="D248" i="103"/>
  <c r="F143" i="103"/>
  <c r="F9" i="103"/>
  <c r="E153" i="103"/>
  <c r="I38" i="103"/>
  <c r="D97" i="103"/>
  <c r="F155" i="103"/>
  <c r="F227" i="103"/>
  <c r="J301" i="103"/>
  <c r="I27" i="103"/>
  <c r="E164" i="103"/>
  <c r="H200" i="103"/>
  <c r="J144" i="103"/>
  <c r="F284" i="103"/>
  <c r="J63" i="103"/>
  <c r="H313" i="103"/>
  <c r="H316" i="103"/>
  <c r="E96" i="103"/>
  <c r="G230" i="103"/>
  <c r="D298" i="103"/>
  <c r="I227" i="103"/>
  <c r="H156" i="103"/>
  <c r="G254" i="103"/>
  <c r="H44" i="103"/>
  <c r="E104" i="103"/>
  <c r="E102" i="103"/>
  <c r="D27" i="103"/>
  <c r="E223" i="103"/>
  <c r="F75" i="103"/>
  <c r="I62" i="103"/>
  <c r="J104" i="103"/>
  <c r="J275" i="103"/>
  <c r="F281" i="103"/>
  <c r="E280" i="103"/>
  <c r="H276" i="103"/>
  <c r="D198" i="103"/>
  <c r="H274" i="103"/>
  <c r="H226" i="103"/>
  <c r="D289" i="103"/>
  <c r="E185" i="103"/>
  <c r="F149" i="103"/>
  <c r="I132" i="103"/>
  <c r="E66" i="103"/>
  <c r="H270" i="103"/>
  <c r="F280" i="103"/>
  <c r="F315" i="103"/>
  <c r="F55" i="103"/>
  <c r="I224" i="103"/>
  <c r="I322" i="103"/>
  <c r="I61" i="103"/>
  <c r="H115" i="103"/>
  <c r="E242" i="103"/>
  <c r="H335" i="103"/>
  <c r="G180" i="103"/>
  <c r="H205" i="103"/>
  <c r="E186" i="103"/>
  <c r="I262" i="103"/>
  <c r="E126" i="103"/>
  <c r="E137" i="103"/>
  <c r="E97" i="103"/>
  <c r="G231" i="103"/>
  <c r="H322" i="103"/>
  <c r="E256" i="103"/>
  <c r="J126" i="103"/>
  <c r="H323" i="103"/>
  <c r="E42" i="103"/>
  <c r="G97" i="103"/>
  <c r="G329" i="103"/>
  <c r="G163" i="103"/>
  <c r="E43" i="103"/>
  <c r="I320" i="103"/>
  <c r="I77" i="103"/>
  <c r="J137" i="103"/>
  <c r="H27" i="103"/>
  <c r="D169" i="103"/>
  <c r="D254" i="103"/>
  <c r="H145" i="103"/>
  <c r="H157" i="103"/>
  <c r="F182" i="103"/>
  <c r="D26" i="103"/>
  <c r="J123" i="103"/>
  <c r="I54" i="103"/>
  <c r="H16" i="103"/>
  <c r="H120" i="103"/>
  <c r="I167" i="103"/>
  <c r="D145" i="103"/>
  <c r="F290" i="103"/>
  <c r="D307" i="103"/>
  <c r="G8" i="103"/>
  <c r="D261" i="103"/>
  <c r="G249" i="103"/>
  <c r="G308" i="103"/>
  <c r="G141" i="103"/>
  <c r="G36" i="103"/>
  <c r="G143" i="103"/>
  <c r="G199" i="103"/>
  <c r="E49" i="103"/>
  <c r="J99" i="103"/>
  <c r="D57" i="103"/>
  <c r="D312" i="103"/>
  <c r="J4" i="103"/>
  <c r="E111" i="103"/>
  <c r="D204" i="103"/>
  <c r="E258" i="103"/>
  <c r="H71" i="103"/>
  <c r="F10" i="103"/>
  <c r="F174" i="103"/>
  <c r="J311" i="103"/>
  <c r="F196" i="103"/>
  <c r="F260" i="103"/>
  <c r="I163" i="103"/>
  <c r="F235" i="103"/>
  <c r="F248" i="103"/>
  <c r="F214" i="103"/>
  <c r="E129" i="103"/>
  <c r="E93" i="103"/>
  <c r="D259" i="103"/>
  <c r="G44" i="103"/>
  <c r="I58" i="103"/>
  <c r="H72" i="103"/>
  <c r="G133" i="103"/>
  <c r="E213" i="103"/>
  <c r="I193" i="103"/>
  <c r="D208" i="103"/>
  <c r="G205" i="103"/>
  <c r="I298" i="103"/>
  <c r="I156" i="103"/>
  <c r="J188" i="103"/>
  <c r="J255" i="103"/>
  <c r="D288" i="103"/>
  <c r="F194" i="103"/>
  <c r="D130" i="103"/>
  <c r="H81" i="103"/>
  <c r="I140" i="103"/>
  <c r="F27" i="103"/>
  <c r="F250" i="103"/>
  <c r="D237" i="103"/>
  <c r="H36" i="103"/>
  <c r="I242" i="103"/>
  <c r="G82" i="103"/>
  <c r="I313" i="103"/>
  <c r="G24" i="103"/>
  <c r="G108" i="103"/>
  <c r="E300" i="103"/>
  <c r="I134" i="103"/>
  <c r="E204" i="103"/>
  <c r="E312" i="103"/>
  <c r="E38" i="103"/>
  <c r="F329" i="103"/>
  <c r="D19" i="103"/>
  <c r="F38" i="103"/>
  <c r="I246" i="103"/>
  <c r="G101" i="103"/>
  <c r="E276" i="103"/>
  <c r="F219" i="103"/>
  <c r="H68" i="103"/>
  <c r="D215" i="103"/>
  <c r="D277" i="103"/>
  <c r="G96" i="103"/>
  <c r="G20" i="103"/>
  <c r="J163" i="103"/>
  <c r="J162" i="103"/>
  <c r="F216" i="103"/>
  <c r="H158" i="103"/>
  <c r="G195" i="103"/>
  <c r="D31" i="103"/>
  <c r="D99" i="103"/>
  <c r="I162" i="103"/>
  <c r="G190" i="103"/>
  <c r="I158" i="103"/>
  <c r="E54" i="103"/>
  <c r="I216" i="103"/>
  <c r="G270" i="103"/>
  <c r="E108" i="103"/>
  <c r="I278" i="103"/>
  <c r="E13" i="103"/>
  <c r="G261" i="103"/>
  <c r="G9" i="103"/>
  <c r="I49" i="103"/>
  <c r="I217" i="103"/>
  <c r="J273" i="103"/>
  <c r="D86" i="103"/>
  <c r="J307" i="103"/>
  <c r="F314" i="103"/>
  <c r="E155" i="103"/>
  <c r="E235" i="103"/>
  <c r="H106" i="103"/>
  <c r="F247" i="103"/>
  <c r="H112" i="103"/>
  <c r="I56" i="103"/>
  <c r="D205" i="103"/>
  <c r="J138" i="103"/>
  <c r="D168" i="103"/>
  <c r="I270" i="103"/>
  <c r="J166" i="103"/>
  <c r="J116" i="103"/>
  <c r="E270" i="103"/>
  <c r="J6" i="103"/>
  <c r="D233" i="103"/>
  <c r="I253" i="103"/>
  <c r="I70" i="103"/>
  <c r="H139" i="103"/>
  <c r="G283" i="103"/>
  <c r="E107" i="103"/>
  <c r="I133" i="103"/>
  <c r="F288" i="103"/>
  <c r="E229" i="103"/>
  <c r="E246" i="103"/>
  <c r="H197" i="103"/>
  <c r="G113" i="103"/>
  <c r="G188" i="103"/>
  <c r="G138" i="103"/>
  <c r="F125" i="103"/>
  <c r="J181" i="103"/>
  <c r="J327" i="103"/>
  <c r="G67" i="103"/>
  <c r="H105" i="103"/>
  <c r="J165" i="103"/>
  <c r="D84" i="103"/>
  <c r="D299" i="103"/>
  <c r="E330" i="103"/>
  <c r="I12" i="103"/>
  <c r="D34" i="103"/>
  <c r="G209" i="103"/>
  <c r="G182" i="103"/>
  <c r="D6" i="103"/>
  <c r="H160" i="103"/>
  <c r="G185" i="103"/>
  <c r="I88" i="103"/>
  <c r="G281" i="103"/>
  <c r="D38" i="103"/>
  <c r="F306" i="103"/>
  <c r="J306" i="103"/>
  <c r="I169" i="103"/>
  <c r="D226" i="103"/>
  <c r="J265" i="103"/>
  <c r="E197" i="103"/>
  <c r="F189" i="103"/>
  <c r="E41" i="103"/>
  <c r="D305" i="103"/>
  <c r="I24" i="103"/>
  <c r="F161" i="103"/>
  <c r="E60" i="103"/>
  <c r="I235" i="103"/>
  <c r="E100" i="103"/>
  <c r="H141" i="103"/>
  <c r="F262" i="103"/>
  <c r="F173" i="103"/>
  <c r="D79" i="103"/>
  <c r="H98" i="103"/>
  <c r="G228" i="103"/>
  <c r="G117" i="103"/>
  <c r="F309" i="103"/>
  <c r="D329" i="103"/>
  <c r="J232" i="103"/>
  <c r="F70" i="103"/>
  <c r="I115" i="103"/>
  <c r="J310" i="103"/>
  <c r="H183" i="103"/>
  <c r="D60" i="103"/>
  <c r="H223" i="103"/>
  <c r="F261" i="103"/>
  <c r="I245" i="103"/>
  <c r="E233" i="103"/>
  <c r="H85" i="103"/>
  <c r="D272" i="103"/>
  <c r="J76" i="103"/>
  <c r="H206" i="103"/>
  <c r="D165" i="103"/>
  <c r="I78" i="103"/>
  <c r="I229" i="103"/>
  <c r="E329" i="103"/>
  <c r="E62" i="103"/>
  <c r="I225" i="103"/>
  <c r="D195" i="103"/>
  <c r="J142" i="103"/>
  <c r="I314" i="103"/>
  <c r="H178" i="103"/>
  <c r="J184" i="103"/>
  <c r="E324" i="103"/>
  <c r="D268" i="103"/>
  <c r="I254" i="103"/>
  <c r="E298" i="103"/>
  <c r="J320" i="103"/>
  <c r="I141" i="103"/>
  <c r="F34" i="103"/>
  <c r="H277" i="103"/>
  <c r="I331" i="103"/>
  <c r="G56" i="103"/>
  <c r="J78" i="103"/>
  <c r="I137" i="103"/>
  <c r="G121" i="103"/>
  <c r="D281" i="103"/>
  <c r="J146" i="103"/>
  <c r="H227" i="103"/>
  <c r="E84" i="103"/>
  <c r="E273" i="103"/>
  <c r="J187" i="103"/>
  <c r="F12" i="103"/>
  <c r="H107" i="103"/>
  <c r="G277" i="103"/>
  <c r="D129" i="103"/>
  <c r="D245" i="103"/>
  <c r="E292" i="103"/>
  <c r="I98" i="103"/>
  <c r="J167" i="103"/>
  <c r="I34" i="103"/>
  <c r="J3" i="103"/>
  <c r="H18" i="103"/>
  <c r="I66" i="103"/>
  <c r="H257" i="103"/>
  <c r="E152" i="103"/>
  <c r="G242" i="103"/>
  <c r="F46" i="103"/>
  <c r="H189" i="103"/>
  <c r="H194" i="103"/>
  <c r="I20" i="103"/>
  <c r="J133" i="103"/>
  <c r="I30" i="103"/>
  <c r="J331" i="103"/>
  <c r="F299" i="103"/>
  <c r="D287" i="103"/>
  <c r="I32" i="103"/>
  <c r="G257" i="103"/>
  <c r="F274" i="103"/>
  <c r="D325" i="103"/>
  <c r="F45" i="103"/>
  <c r="H32" i="103"/>
  <c r="J281" i="103"/>
  <c r="E12" i="103"/>
  <c r="H46" i="103"/>
  <c r="G235" i="103"/>
  <c r="I43" i="103"/>
  <c r="G226" i="103"/>
  <c r="I232" i="103"/>
  <c r="F251" i="103"/>
  <c r="J322" i="103"/>
  <c r="I261" i="103"/>
  <c r="E176" i="103"/>
  <c r="I256" i="103"/>
  <c r="H42" i="103"/>
  <c r="J115" i="103"/>
  <c r="E182" i="103"/>
  <c r="H4" i="103"/>
  <c r="I65" i="103"/>
  <c r="J303" i="103"/>
  <c r="I112" i="103"/>
  <c r="D331" i="103"/>
  <c r="F198" i="103"/>
  <c r="F160" i="103"/>
  <c r="J59" i="103"/>
  <c r="I289" i="103"/>
  <c r="F319" i="103"/>
  <c r="G266" i="103"/>
  <c r="I40" i="103"/>
  <c r="E241" i="103"/>
  <c r="I84" i="103"/>
  <c r="D20" i="103"/>
  <c r="F253" i="103"/>
  <c r="D92" i="103"/>
  <c r="D223" i="103"/>
  <c r="F272" i="103"/>
  <c r="F138" i="103"/>
  <c r="F54" i="103"/>
  <c r="G321" i="103"/>
  <c r="I23" i="103"/>
  <c r="G187" i="103"/>
  <c r="I139" i="103"/>
  <c r="H137" i="103"/>
  <c r="D291" i="103"/>
  <c r="J75" i="103"/>
  <c r="J270" i="103"/>
  <c r="E318" i="103"/>
  <c r="D222" i="103"/>
  <c r="D227" i="103"/>
  <c r="G91" i="103"/>
  <c r="D121" i="103"/>
  <c r="I21" i="103"/>
  <c r="D283" i="103"/>
  <c r="J72" i="103"/>
  <c r="D83" i="103"/>
  <c r="D160" i="103"/>
  <c r="D40" i="103"/>
  <c r="D316" i="103"/>
  <c r="I136" i="103"/>
  <c r="J30" i="103"/>
  <c r="H3" i="103"/>
  <c r="H331" i="103"/>
  <c r="D61" i="103"/>
  <c r="I16" i="103"/>
  <c r="F130" i="103"/>
  <c r="I230" i="103"/>
  <c r="H229" i="103"/>
  <c r="E166" i="103"/>
  <c r="G214" i="103"/>
  <c r="J333" i="103"/>
  <c r="G58" i="103"/>
  <c r="E135" i="103"/>
  <c r="I157" i="103"/>
  <c r="E109" i="103"/>
  <c r="F187" i="103"/>
  <c r="G55" i="103"/>
  <c r="F176" i="103"/>
  <c r="F320" i="103"/>
  <c r="E207" i="103"/>
  <c r="H165" i="103"/>
  <c r="D302" i="103"/>
  <c r="J71" i="103"/>
  <c r="I310" i="103"/>
  <c r="E334" i="103"/>
  <c r="I179" i="103"/>
  <c r="F240" i="103"/>
  <c r="F135" i="103"/>
  <c r="H28" i="103"/>
  <c r="J85" i="103"/>
  <c r="H213" i="103"/>
  <c r="H5" i="103"/>
  <c r="I293" i="103"/>
  <c r="H301" i="103"/>
  <c r="J49" i="103"/>
  <c r="D225" i="103"/>
  <c r="I196" i="103"/>
  <c r="F144" i="103"/>
  <c r="F335" i="103"/>
  <c r="J95" i="103"/>
  <c r="H14" i="103"/>
  <c r="E226" i="103"/>
  <c r="E122" i="103"/>
  <c r="E133" i="103"/>
  <c r="F301" i="103"/>
  <c r="H324" i="103"/>
  <c r="I165" i="103"/>
  <c r="D183" i="103"/>
  <c r="F37" i="103"/>
  <c r="J114" i="103"/>
  <c r="H192" i="103"/>
  <c r="D301" i="103"/>
  <c r="F131" i="103"/>
  <c r="H317" i="103"/>
  <c r="G125" i="103"/>
  <c r="I186" i="103"/>
  <c r="J98" i="103"/>
  <c r="F197" i="103"/>
  <c r="F25" i="103"/>
  <c r="G168" i="103"/>
  <c r="E142" i="103"/>
  <c r="F232" i="103"/>
  <c r="E234" i="103"/>
  <c r="J178" i="103"/>
  <c r="I113" i="103"/>
  <c r="G306" i="103"/>
  <c r="I259" i="103"/>
  <c r="G27" i="103"/>
  <c r="I174" i="103"/>
  <c r="H138" i="103"/>
  <c r="H307" i="103"/>
  <c r="H327" i="103"/>
  <c r="I91" i="103"/>
  <c r="H275" i="103"/>
  <c r="H251" i="103"/>
  <c r="J177" i="103"/>
  <c r="E56" i="103"/>
  <c r="I138" i="103"/>
  <c r="I18" i="103"/>
  <c r="E115" i="103"/>
  <c r="H311" i="103"/>
  <c r="J65" i="103"/>
  <c r="H90" i="103"/>
  <c r="I100" i="103"/>
  <c r="E319" i="103"/>
  <c r="D295" i="103"/>
  <c r="H195" i="103"/>
  <c r="H329" i="103"/>
  <c r="D55" i="103"/>
  <c r="I41" i="103"/>
  <c r="G156" i="103"/>
  <c r="G247" i="103"/>
  <c r="I284" i="103"/>
  <c r="G127" i="103"/>
  <c r="D284" i="103"/>
  <c r="H34" i="103"/>
  <c r="F43" i="103"/>
  <c r="G272" i="103"/>
  <c r="F226" i="103"/>
  <c r="J20" i="103"/>
  <c r="E138" i="103"/>
  <c r="D262" i="103"/>
  <c r="G25" i="103"/>
  <c r="F104" i="103"/>
  <c r="I297" i="103"/>
  <c r="J287" i="103"/>
  <c r="H261" i="103"/>
  <c r="I120" i="103"/>
  <c r="J74" i="103"/>
  <c r="H255" i="103"/>
  <c r="I75" i="103"/>
  <c r="G258" i="103"/>
  <c r="H76" i="103"/>
  <c r="E99" i="103"/>
  <c r="G31" i="103"/>
  <c r="I153" i="103"/>
  <c r="D182" i="103"/>
  <c r="H209" i="103"/>
  <c r="G66" i="103"/>
  <c r="I57" i="103"/>
  <c r="F206" i="103"/>
  <c r="F102" i="103"/>
  <c r="G295" i="103"/>
  <c r="I11" i="103"/>
  <c r="F132" i="103"/>
  <c r="G103" i="103"/>
  <c r="G293" i="103"/>
  <c r="I237" i="103"/>
  <c r="G323" i="103"/>
  <c r="F28" i="103"/>
  <c r="J328" i="103"/>
  <c r="G319" i="103"/>
  <c r="F291" i="103"/>
  <c r="E227" i="103"/>
  <c r="D314" i="103"/>
  <c r="D63" i="103"/>
  <c r="G139" i="103"/>
  <c r="H30" i="103"/>
  <c r="H168" i="103"/>
  <c r="E261" i="103"/>
  <c r="E251" i="103"/>
  <c r="F264" i="103"/>
  <c r="F150" i="103"/>
  <c r="G333" i="103"/>
  <c r="J84" i="103"/>
  <c r="F171" i="103"/>
  <c r="E236" i="103"/>
  <c r="J230" i="103"/>
  <c r="G179" i="103"/>
  <c r="J125" i="103"/>
  <c r="I334" i="103"/>
  <c r="F328" i="103"/>
  <c r="E88" i="103"/>
  <c r="F137" i="103"/>
  <c r="J119" i="103"/>
  <c r="F326" i="103"/>
  <c r="G34" i="103"/>
  <c r="J156" i="103"/>
  <c r="E146" i="103"/>
  <c r="H262" i="103"/>
  <c r="H256" i="103"/>
  <c r="J189" i="103"/>
  <c r="F71" i="103"/>
  <c r="H23" i="103"/>
  <c r="J226" i="103"/>
  <c r="E205" i="103"/>
  <c r="D123" i="103"/>
  <c r="H95" i="103"/>
  <c r="F147" i="103"/>
  <c r="D218" i="103"/>
  <c r="D286" i="103"/>
  <c r="J55" i="103"/>
  <c r="D90" i="103"/>
  <c r="H182" i="103"/>
  <c r="J196" i="103"/>
  <c r="F69" i="103"/>
  <c r="F191" i="103"/>
  <c r="D65" i="103"/>
  <c r="G327" i="103"/>
  <c r="E224" i="103"/>
  <c r="F184" i="103"/>
  <c r="G37" i="103"/>
  <c r="J209" i="103"/>
  <c r="F244" i="103"/>
  <c r="F304" i="103"/>
  <c r="H258" i="103"/>
  <c r="J11" i="103"/>
  <c r="H303" i="103"/>
  <c r="G98" i="103"/>
  <c r="G92" i="103"/>
  <c r="J9" i="103"/>
  <c r="H143" i="103"/>
  <c r="G110" i="103"/>
  <c r="H94" i="103"/>
  <c r="E30" i="103"/>
  <c r="F321" i="103"/>
  <c r="I175" i="103"/>
  <c r="F210" i="103"/>
  <c r="E34" i="103"/>
  <c r="I327" i="103"/>
  <c r="I304" i="103"/>
  <c r="J151" i="103"/>
  <c r="J335" i="103"/>
  <c r="D322" i="103"/>
  <c r="E80" i="103"/>
  <c r="E29" i="103"/>
  <c r="G196" i="103"/>
  <c r="D235" i="103"/>
  <c r="H49" i="103"/>
  <c r="H121" i="103"/>
  <c r="G286" i="103"/>
  <c r="H246" i="103"/>
  <c r="D159" i="103"/>
  <c r="E216" i="103"/>
  <c r="H232" i="103"/>
  <c r="F294" i="103"/>
  <c r="D333" i="103"/>
  <c r="I274" i="103"/>
  <c r="H219" i="103"/>
  <c r="H207" i="103"/>
  <c r="G29" i="103"/>
  <c r="H66" i="103"/>
  <c r="F270" i="103"/>
  <c r="H294" i="103"/>
  <c r="E259" i="103"/>
  <c r="J22" i="103"/>
  <c r="I211" i="103"/>
  <c r="I93" i="103"/>
  <c r="D210" i="103"/>
  <c r="J69" i="103"/>
  <c r="F327" i="103"/>
  <c r="I7" i="103"/>
  <c r="I159" i="103"/>
  <c r="E278" i="103"/>
  <c r="G140" i="103"/>
  <c r="D207" i="103"/>
  <c r="E265" i="103"/>
  <c r="E281" i="103"/>
  <c r="F98" i="103"/>
  <c r="I228" i="103"/>
  <c r="F225" i="103"/>
  <c r="D132" i="103"/>
  <c r="I283" i="103"/>
  <c r="H175" i="103"/>
  <c r="D47" i="103"/>
  <c r="H296" i="103"/>
  <c r="D115" i="103"/>
  <c r="J13" i="103"/>
  <c r="H126" i="103"/>
  <c r="D13" i="103"/>
  <c r="H265" i="103"/>
  <c r="J263" i="103"/>
  <c r="E296" i="103"/>
  <c r="G192" i="103"/>
  <c r="H172" i="103"/>
  <c r="G104" i="103"/>
  <c r="F18" i="103"/>
  <c r="E211" i="103"/>
  <c r="H244" i="103"/>
  <c r="F221" i="103"/>
  <c r="D158" i="103"/>
  <c r="I160" i="103"/>
  <c r="J256" i="103"/>
  <c r="H240" i="103"/>
  <c r="G291" i="103"/>
  <c r="G221" i="103"/>
  <c r="F205" i="103"/>
  <c r="G264" i="103"/>
  <c r="I330" i="103"/>
  <c r="F234" i="103"/>
  <c r="I106" i="103"/>
  <c r="J7" i="103"/>
  <c r="F233" i="103"/>
  <c r="F3" i="103"/>
  <c r="D230" i="103"/>
  <c r="G301" i="103"/>
  <c r="H180" i="103"/>
  <c r="I239" i="103"/>
  <c r="G317" i="103"/>
  <c r="G79" i="103"/>
  <c r="F266" i="103"/>
  <c r="H201" i="103"/>
  <c r="I8" i="103"/>
  <c r="D304" i="103"/>
  <c r="G114" i="103"/>
  <c r="H293" i="103"/>
  <c r="H319" i="103"/>
  <c r="F139" i="103"/>
  <c r="D103" i="103"/>
  <c r="J39" i="103"/>
  <c r="J158" i="103"/>
  <c r="J210" i="103"/>
  <c r="J164" i="103"/>
  <c r="D118" i="103"/>
  <c r="G299" i="103"/>
  <c r="J56" i="103"/>
  <c r="D185" i="103"/>
  <c r="I94" i="103"/>
  <c r="H152" i="103"/>
  <c r="J254" i="103"/>
  <c r="H26" i="103"/>
  <c r="J268" i="103"/>
  <c r="G260" i="103"/>
  <c r="G274" i="103"/>
  <c r="F11" i="103"/>
  <c r="E72" i="103"/>
  <c r="F111" i="103"/>
  <c r="D59" i="103"/>
  <c r="I55" i="103"/>
  <c r="I33" i="103"/>
  <c r="D311" i="103"/>
  <c r="I177" i="103"/>
  <c r="F101" i="103"/>
  <c r="E121" i="103"/>
  <c r="H22" i="103"/>
  <c r="G191" i="103"/>
  <c r="F86" i="103"/>
  <c r="I309" i="103"/>
  <c r="E65" i="103"/>
  <c r="H110" i="103"/>
  <c r="D323" i="103"/>
  <c r="D112" i="103"/>
  <c r="E120" i="103"/>
  <c r="G287" i="103"/>
  <c r="E257" i="103"/>
  <c r="J269" i="103"/>
  <c r="J204" i="103"/>
  <c r="E83" i="103"/>
  <c r="G85" i="103"/>
  <c r="J110" i="103"/>
  <c r="D236" i="103"/>
  <c r="G35" i="103"/>
  <c r="G290" i="103"/>
  <c r="I96" i="103"/>
  <c r="D28" i="103"/>
  <c r="F64" i="103"/>
  <c r="D257" i="103"/>
  <c r="J117" i="103"/>
  <c r="G206" i="103"/>
  <c r="F81" i="103"/>
  <c r="G54" i="103"/>
  <c r="F76" i="103"/>
  <c r="F224" i="103"/>
  <c r="H35" i="103"/>
  <c r="H132" i="103"/>
  <c r="I121" i="103"/>
  <c r="E36" i="103"/>
  <c r="D217" i="103"/>
  <c r="E297" i="103"/>
  <c r="H169" i="103"/>
  <c r="H109" i="103"/>
  <c r="H216" i="103"/>
  <c r="H153" i="103"/>
  <c r="D93" i="103"/>
  <c r="D260" i="103"/>
  <c r="G126" i="103"/>
  <c r="F148" i="103"/>
  <c r="G134" i="103"/>
  <c r="I68" i="103"/>
  <c r="D18" i="103"/>
  <c r="E285" i="103"/>
  <c r="F22" i="103"/>
  <c r="H70" i="103"/>
  <c r="D75" i="103"/>
  <c r="E301" i="103"/>
  <c r="G203" i="103"/>
  <c r="F110" i="103"/>
  <c r="D209" i="103"/>
  <c r="G285" i="103"/>
  <c r="E89" i="103"/>
  <c r="I118" i="103"/>
  <c r="E79" i="103"/>
  <c r="I83" i="103"/>
  <c r="J302" i="103"/>
  <c r="H29" i="103"/>
  <c r="I291" i="103"/>
  <c r="F31" i="103"/>
  <c r="G11" i="103"/>
  <c r="D66" i="103"/>
  <c r="G324" i="103"/>
  <c r="H204" i="103"/>
  <c r="F73" i="103"/>
  <c r="G40" i="103"/>
  <c r="G255" i="103"/>
  <c r="D197" i="103"/>
  <c r="E240" i="103"/>
  <c r="D294" i="103"/>
  <c r="H102" i="103"/>
  <c r="H149" i="103"/>
  <c r="G32" i="103"/>
  <c r="E335" i="103"/>
  <c r="F172" i="103"/>
  <c r="D7" i="103"/>
  <c r="F230" i="103"/>
  <c r="E188" i="103"/>
  <c r="E35" i="103"/>
  <c r="I74" i="103"/>
  <c r="F61" i="103"/>
  <c r="H104" i="103"/>
  <c r="F77" i="103"/>
  <c r="H333" i="103"/>
  <c r="E20" i="103"/>
  <c r="F236" i="103"/>
  <c r="G149" i="103"/>
  <c r="D36" i="103"/>
  <c r="H212" i="103"/>
  <c r="J216" i="103"/>
  <c r="J295" i="103"/>
  <c r="F158" i="103"/>
  <c r="H56" i="103"/>
  <c r="J91" i="103"/>
  <c r="G135" i="103"/>
  <c r="E238" i="103"/>
  <c r="E253" i="103"/>
  <c r="G18" i="103"/>
  <c r="I46" i="103"/>
  <c r="D131" i="103"/>
  <c r="D308" i="103"/>
  <c r="D273" i="103"/>
  <c r="I203" i="103"/>
  <c r="E222" i="103"/>
  <c r="E92" i="103"/>
  <c r="H82" i="103"/>
  <c r="I166" i="103"/>
  <c r="F202" i="103"/>
  <c r="J262" i="103"/>
  <c r="D276" i="103"/>
  <c r="H144" i="103"/>
  <c r="J309" i="103"/>
  <c r="D242" i="103"/>
  <c r="J308" i="103"/>
  <c r="D200" i="103"/>
  <c r="H8" i="103"/>
  <c r="I195" i="103"/>
  <c r="E171" i="103"/>
  <c r="G265" i="103"/>
  <c r="G298" i="103"/>
  <c r="G332" i="103"/>
  <c r="G177" i="103"/>
  <c r="H20" i="103"/>
  <c r="D224" i="103"/>
  <c r="H334" i="103"/>
  <c r="H306" i="103"/>
  <c r="F29" i="103"/>
  <c r="G30" i="103"/>
  <c r="H63" i="103"/>
  <c r="E305" i="103"/>
  <c r="E57" i="103"/>
  <c r="H53" i="103"/>
  <c r="F318" i="103"/>
  <c r="J16" i="103"/>
  <c r="F62" i="103"/>
  <c r="J190" i="103"/>
  <c r="E123" i="103"/>
  <c r="I240" i="103"/>
  <c r="D214" i="103"/>
  <c r="H88" i="103"/>
  <c r="J227" i="103"/>
  <c r="E272" i="103"/>
  <c r="I26" i="103"/>
  <c r="D188" i="103"/>
  <c r="D98" i="103"/>
  <c r="E90" i="103"/>
  <c r="J17" i="103"/>
  <c r="H326" i="103"/>
  <c r="I45" i="103"/>
  <c r="G38" i="103"/>
  <c r="H298" i="103"/>
  <c r="F263" i="103"/>
  <c r="G204" i="103"/>
  <c r="G174" i="103"/>
  <c r="F14" i="103"/>
  <c r="H286" i="103"/>
  <c r="F59" i="103"/>
  <c r="E134" i="103"/>
  <c r="G176" i="103"/>
  <c r="E327" i="103"/>
  <c r="E196" i="103"/>
  <c r="I5" i="103"/>
  <c r="D285" i="103"/>
  <c r="D46" i="103"/>
  <c r="G194" i="103"/>
  <c r="F146" i="103"/>
  <c r="I202" i="103"/>
  <c r="F324" i="103"/>
  <c r="H290" i="103"/>
  <c r="F167" i="103"/>
  <c r="E232" i="103"/>
  <c r="H93" i="103"/>
  <c r="J175" i="103"/>
  <c r="H108" i="103"/>
  <c r="D178" i="103"/>
  <c r="H9" i="103"/>
  <c r="F49" i="103"/>
  <c r="J168" i="103"/>
  <c r="D48" i="103"/>
  <c r="J291" i="103"/>
  <c r="F334" i="103"/>
  <c r="E154" i="103"/>
  <c r="H100" i="103"/>
  <c r="E326" i="103"/>
  <c r="H167" i="103"/>
  <c r="G122" i="103"/>
  <c r="G153" i="103"/>
  <c r="F222" i="103"/>
  <c r="H45" i="103"/>
  <c r="F68" i="103"/>
  <c r="I251" i="103"/>
  <c r="D229" i="103"/>
  <c r="J220" i="103"/>
  <c r="I326" i="103"/>
  <c r="E181" i="103"/>
  <c r="F269" i="103"/>
  <c r="E210" i="103"/>
</calcChain>
</file>

<file path=xl/comments1.xml><?xml version="1.0" encoding="utf-8"?>
<comments xmlns="http://schemas.openxmlformats.org/spreadsheetml/2006/main">
  <authors>
    <author>rifa</author>
    <author>Fanciulli Riccardo</author>
  </authors>
  <commentList>
    <comment ref="D1" authorId="0">
      <text>
        <r>
          <rPr>
            <b/>
            <sz val="9"/>
            <color indexed="81"/>
            <rFont val="Tahoma"/>
            <family val="2"/>
          </rPr>
          <t>rifa:</t>
        </r>
        <r>
          <rPr>
            <sz val="9"/>
            <color indexed="81"/>
            <rFont val="Tahoma"/>
            <family val="2"/>
          </rPr>
          <t xml:space="preserve">
</t>
        </r>
        <r>
          <rPr>
            <sz val="14"/>
            <color indexed="81"/>
            <rFont val="Tahoma"/>
            <family val="2"/>
          </rPr>
          <t>from:
\\dataserver\Gruppen\Projects\AMERIKA\Canada\Industry_Canada\Release_2\04_Design_Technical_Docs\LLD(s)\_Design_Document\InternetOnline\R2_Data_Capture_Matrix\R2_Data_Capture_Expanded.xls</t>
        </r>
      </text>
    </comment>
    <comment ref="K4" authorId="1">
      <text>
        <r>
          <rPr>
            <b/>
            <sz val="8"/>
            <color indexed="81"/>
            <rFont val="Tahoma"/>
            <family val="2"/>
          </rPr>
          <t>Fanciulli Riccardo:</t>
        </r>
        <r>
          <rPr>
            <sz val="8"/>
            <color indexed="81"/>
            <rFont val="Tahoma"/>
            <family val="2"/>
          </rPr>
          <t xml:space="preserve">
</t>
        </r>
        <r>
          <rPr>
            <sz val="11"/>
            <color indexed="81"/>
            <rFont val="Tahoma"/>
            <family val="2"/>
          </rPr>
          <t>IF A FIELD IS ENTERED IN SOME PLACE AND DISPLAYED IN SOME OTHER, HERE THE FIRST FROM THE LEFT IS THE INPUT LOCATION AND  THE OTHERS ARE DIAPLY LOCATIONS. (e.g. S1.3 and CH1.9)</t>
        </r>
      </text>
    </comment>
    <comment ref="J5" authorId="1">
      <text>
        <r>
          <rPr>
            <b/>
            <sz val="10"/>
            <color indexed="81"/>
            <rFont val="Tahoma"/>
            <family val="2"/>
          </rPr>
          <t>Fanciulli Riccardo:</t>
        </r>
        <r>
          <rPr>
            <sz val="10"/>
            <color indexed="81"/>
            <rFont val="Tahoma"/>
            <family val="2"/>
          </rPr>
          <t xml:space="preserve">
The LOVs were taken from R2_Data_Capture_Expanded , buit they will need to be reviewed with the more recent ones from Laura</t>
        </r>
      </text>
    </comment>
  </commentList>
</comments>
</file>

<file path=xl/comments2.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<sst xmlns="http://schemas.openxmlformats.org/spreadsheetml/2006/main" count="6526" uniqueCount="5266">
  <si>
    <t>A1.19</t>
  </si>
  <si>
    <t>Attachments</t>
  </si>
  <si>
    <t>AT1.1</t>
  </si>
  <si>
    <t>AT1.2</t>
  </si>
  <si>
    <t>AT1.3</t>
  </si>
  <si>
    <t>E1.15</t>
  </si>
  <si>
    <t>E1.16</t>
  </si>
  <si>
    <t>CS1.3</t>
  </si>
  <si>
    <t>CS1.1</t>
  </si>
  <si>
    <t>S1.26</t>
  </si>
  <si>
    <t>E1.17</t>
  </si>
  <si>
    <t>General Information</t>
  </si>
  <si>
    <t>Validation</t>
  </si>
  <si>
    <t>Notes</t>
  </si>
  <si>
    <t>COLUMN</t>
  </si>
  <si>
    <t>Mapping document</t>
  </si>
  <si>
    <t>Colour codes</t>
  </si>
  <si>
    <t>Mapped</t>
  </si>
  <si>
    <t>Not mapped</t>
  </si>
  <si>
    <t>Mapped but not displayed</t>
  </si>
  <si>
    <t>Version</t>
  </si>
  <si>
    <t>Release Log</t>
  </si>
  <si>
    <t>Name</t>
  </si>
  <si>
    <t>Title</t>
  </si>
  <si>
    <t>Comments</t>
  </si>
  <si>
    <t>Date</t>
  </si>
  <si>
    <t>LL</t>
  </si>
  <si>
    <t>Spectra plus column</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</si>
  <si>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</si>
  <si>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</si>
  <si>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</si>
  <si>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</si>
  <si>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</si>
  <si>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</si>
  <si>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</si>
  <si>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</si>
  <si>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</si>
  <si>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</si>
  <si>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</si>
  <si>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</si>
  <si>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</si>
  <si>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</si>
  <si>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</si>
  <si>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</si>
  <si>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</si>
  <si>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</si>
  <si>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</si>
  <si>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</si>
  <si>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</si>
  <si>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CODE BASE-MOBILE</t>
  </si>
  <si>
    <t>CODE LIGHT-LICENCED</t>
  </si>
  <si>
    <t>CODE RADIODETERMINATION</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</si>
  <si>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</si>
  <si>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</si>
  <si>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</si>
  <si>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</si>
  <si>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</si>
  <si>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</si>
  <si>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</si>
  <si>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</si>
  <si>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</si>
  <si>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</si>
  <si>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</si>
  <si>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</si>
  <si>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</si>
  <si>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</si>
  <si>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</si>
  <si>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</si>
  <si>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</si>
  <si>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</si>
  <si>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</si>
  <si>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</si>
  <si>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</si>
  <si>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</si>
  <si>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</si>
  <si>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</si>
  <si>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</si>
  <si>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</si>
  <si>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</si>
  <si>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</si>
  <si>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</si>
  <si>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</si>
  <si>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</si>
  <si>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</si>
  <si>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</si>
  <si>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</si>
  <si>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</si>
  <si>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</si>
  <si>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</si>
  <si>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</si>
  <si>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</si>
  <si>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</si>
  <si>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VIEW MOCK-UP FILES</t>
  </si>
  <si>
    <t>VIEW LICENCE FILES</t>
  </si>
  <si>
    <t xml:space="preserve">SPECTRAweb field label English
</t>
  </si>
  <si>
    <t xml:space="preserve">SPECTRAweb field label French 
</t>
  </si>
  <si>
    <t>SPECTRA WEB</t>
  </si>
  <si>
    <t>Type of information</t>
  </si>
  <si>
    <t>MO</t>
  </si>
  <si>
    <t>Ship</t>
  </si>
  <si>
    <t>AN1.19</t>
  </si>
  <si>
    <t>Spectra +</t>
  </si>
  <si>
    <t>MOBILE ONLY</t>
  </si>
  <si>
    <t>Optional Display/Entry, LOV reference, Notes</t>
  </si>
  <si>
    <t>VIEW PROCESS MGT FILES</t>
  </si>
  <si>
    <t>Mock-up field codes</t>
  </si>
  <si>
    <t>Covering letter</t>
  </si>
  <si>
    <t>System type</t>
  </si>
  <si>
    <t>E1.10</t>
  </si>
  <si>
    <t>E1.11</t>
  </si>
  <si>
    <t>Aircraft</t>
  </si>
  <si>
    <t>A1.8</t>
  </si>
  <si>
    <t>AP1.1</t>
  </si>
  <si>
    <t>AP1.2</t>
  </si>
  <si>
    <t>Appendix</t>
  </si>
  <si>
    <t>E1.9</t>
  </si>
  <si>
    <t>E1.4</t>
  </si>
  <si>
    <t>CH1.3</t>
  </si>
  <si>
    <t>CH1.7</t>
  </si>
  <si>
    <t>A1.4</t>
  </si>
  <si>
    <t>N1.1</t>
  </si>
  <si>
    <t>N1.2</t>
  </si>
  <si>
    <t>S1.4</t>
  </si>
  <si>
    <t>S1.24</t>
  </si>
  <si>
    <t>S1.7</t>
  </si>
  <si>
    <t>S1.10</t>
  </si>
  <si>
    <t>S1.23</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</si>
  <si>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</si>
  <si>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</si>
  <si>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</si>
  <si>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</si>
  <si>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</si>
  <si>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</si>
  <si>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</si>
  <si>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</si>
  <si>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</si>
  <si>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</si>
  <si>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</si>
  <si>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</si>
  <si>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</si>
  <si>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</si>
  <si>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</si>
  <si>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</si>
  <si>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</si>
  <si>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</si>
  <si>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</si>
  <si>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</si>
  <si>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</si>
  <si>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</si>
  <si>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</si>
  <si>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</si>
  <si>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</si>
  <si>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</si>
  <si>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</si>
  <si>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</si>
  <si>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</si>
  <si>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</si>
  <si>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</si>
  <si>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</si>
  <si>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</si>
  <si>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</si>
  <si>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</si>
  <si>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</si>
  <si>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</si>
  <si>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</si>
  <si>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</si>
  <si>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</si>
  <si>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</si>
  <si>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</si>
  <si>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</si>
  <si>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</si>
  <si>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MARITIME BASE</t>
  </si>
  <si>
    <t>AERONAUTICAL BASE</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</si>
  <si>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</si>
  <si>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</si>
  <si>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</si>
  <si>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</si>
  <si>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</si>
  <si>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</si>
  <si>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</si>
  <si>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</si>
  <si>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</si>
  <si>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</si>
  <si>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</si>
  <si>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</si>
  <si>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</si>
  <si>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</si>
  <si>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AN1.23</t>
  </si>
  <si>
    <t>BASE MOBILE (col=BD)</t>
  </si>
  <si>
    <t>LIGHT LICENSED MOBILE  (col=BE)</t>
  </si>
  <si>
    <t>MOBILE ONLY  (col=BG)</t>
  </si>
  <si>
    <t>RADIODETERMINATION  (col=BF)</t>
  </si>
  <si>
    <t>300</t>
  </si>
  <si>
    <t>3;300 - Base-Mobile Systems</t>
  </si>
  <si>
    <t>SSV</t>
  </si>
  <si>
    <t>module: goto_field_per_ssv()</t>
  </si>
  <si>
    <t>Riccardo Fanciulli</t>
  </si>
  <si>
    <t>module: assignSSV with userform - click on cell and assign to it!</t>
  </si>
  <si>
    <t>base-mobile: base</t>
  </si>
  <si>
    <t>ADD. PARAM.</t>
  </si>
  <si>
    <t>THIS SHEET IS PROTECTED (NO PWD) BECAUSE IT IS THE DYNAMIC COPY OF CONTROL.XMLS "pointers_to_docs": DO NOT EDIT</t>
  </si>
  <si>
    <t>Search type</t>
  </si>
  <si>
    <t>COORD</t>
  </si>
  <si>
    <t>Service/Sub-Serv.</t>
  </si>
  <si>
    <t>Additional Parameter</t>
  </si>
  <si>
    <t>Field to be searched</t>
  </si>
  <si>
    <t>SUB-SERVICES</t>
  </si>
  <si>
    <t>PAGE ON LICENCE STRUCTURE PDF</t>
  </si>
  <si>
    <t>License structure file</t>
  </si>
  <si>
    <t>Sub-service chosen</t>
  </si>
  <si>
    <t>SUB-SERVICES (SHORT)</t>
  </si>
  <si>
    <t>FILTERS</t>
  </si>
  <si>
    <t>MAPPING STYLE</t>
  </si>
  <si>
    <t>Additional parameters allowed</t>
  </si>
  <si>
    <t>SERVICES</t>
  </si>
  <si>
    <t>RADIODETERMINATION</t>
  </si>
  <si>
    <t>\\dataserver\Gruppen\Projects\AMERIKA\Canada\Industry_Canada\Pilot Release\Design\_Design_Document\Referenced_Documents\IC_LicenceStructure.pdf</t>
  </si>
  <si>
    <t>BASE-MOBILE SYSTEMS (ACCESS BASE TO REPEATER (NO MOBILES) / BASE TO BASE)</t>
  </si>
  <si>
    <t>empty</t>
  </si>
  <si>
    <t>Land Mobile - BASE</t>
  </si>
  <si>
    <t>LEGACY</t>
  </si>
  <si>
    <t>NULL</t>
  </si>
  <si>
    <t>1;19 - AM</t>
  </si>
  <si>
    <t>BASE-MOBILE SYSTEMS (ACCESS BASE VIA REPEATER TO MOBILE)</t>
  </si>
  <si>
    <t>ALL</t>
  </si>
  <si>
    <t>Land Mobile - MOBILE</t>
  </si>
  <si>
    <t>EMC</t>
  </si>
  <si>
    <t>1;20 - HF Broadcasting or Shortwave Radio</t>
  </si>
  <si>
    <t>BASE-MOBILE SYSTEMS (FIXED BASE TO MOBILE, NO REPEATER)</t>
  </si>
  <si>
    <t>base-mobile</t>
  </si>
  <si>
    <t>Maritime BASE</t>
  </si>
  <si>
    <t>base-mobile: mobile</t>
  </si>
  <si>
    <t>1;21 - Low Power FM</t>
  </si>
  <si>
    <t>light-licensed</t>
  </si>
  <si>
    <t>Aeronautical BASE</t>
  </si>
  <si>
    <t>WEB</t>
  </si>
  <si>
    <t>1;25 - FM</t>
  </si>
  <si>
    <t>BASE-MOBILE SYSTEMS (POINT-TO-AREA TYPE SYSTEM)</t>
  </si>
  <si>
    <t>radiodetermination</t>
  </si>
  <si>
    <t>FEES</t>
  </si>
  <si>
    <t>1;26 - Analog TV</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</si>
  <si>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</si>
  <si>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</si>
  <si>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</si>
  <si>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</si>
  <si>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</si>
  <si>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</si>
  <si>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</si>
  <si>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</si>
  <si>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</si>
  <si>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</si>
  <si>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</si>
  <si>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</si>
  <si>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</si>
  <si>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</si>
  <si>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</si>
  <si>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</si>
  <si>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</si>
  <si>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</si>
  <si>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</si>
  <si>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</si>
  <si>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</si>
  <si>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</si>
  <si>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</si>
  <si>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</si>
  <si>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</si>
  <si>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</si>
  <si>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</si>
  <si>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PROCESS MGT - Base-mobile_access_base_via_repeater_to_mobile.pdf</t>
  </si>
  <si>
    <t>3;301 - Light-licensed Mobile</t>
  </si>
  <si>
    <t>301</t>
  </si>
  <si>
    <t>PROCESS MGT - Base-mobile_fixed_to_mobile_no_repeater.pdf</t>
  </si>
  <si>
    <t>3;302 - Mobile Only</t>
  </si>
  <si>
    <t>302</t>
  </si>
  <si>
    <t>PROCESS MGT - Base-mobile_access_base_to_repeater_no_mobiles_base_to_base.pdf</t>
  </si>
  <si>
    <t>3;304 - Radiodetermination</t>
  </si>
  <si>
    <t>304</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</si>
  <si>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</si>
  <si>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</si>
  <si>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</si>
  <si>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</si>
  <si>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</si>
  <si>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</si>
  <si>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</si>
  <si>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</si>
  <si>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</si>
  <si>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</si>
  <si>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</si>
  <si>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</si>
  <si>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</si>
  <si>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</si>
  <si>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Field_1-300-base-mobile: base, WEB,1</t>
  </si>
  <si>
    <t>Field_2-302-base-mobile: mobile,WEB,1</t>
  </si>
  <si>
    <t>Field_3-301-NULL, WEB,1</t>
  </si>
  <si>
    <t>Field_4-300-NULL,WEB ,1</t>
  </si>
  <si>
    <t>Field_5-302-NULL, WEB ,1</t>
  </si>
  <si>
    <t>Field_1-301-NULL, WEB, 1</t>
  </si>
  <si>
    <t>Field_2-302-base-mobile: base, WEB, 1</t>
  </si>
  <si>
    <t>Field_6-300-base-mobile: base, WEB, 1</t>
  </si>
  <si>
    <t>Field_7 - 301 - NULL, WEB, 1</t>
  </si>
  <si>
    <t>Field_1-300-base-mobile: base, WEB,2</t>
  </si>
  <si>
    <t>Field_1-300-base-mobile: base, WEB,3</t>
  </si>
  <si>
    <t>Field_1-300-base-mobile: base, WEB,4</t>
  </si>
  <si>
    <t>Field_1-300-base-mobile: base, WEB,5</t>
  </si>
  <si>
    <t>Field_1-300-base-mobile: base, WEB,6</t>
  </si>
  <si>
    <t>Field_1-300-base-mobile: base, WEB,7</t>
  </si>
  <si>
    <t>Field_1-300-base-mobile: base, WEB,8</t>
  </si>
  <si>
    <t>Field_1-300-base-mobile: base, WEB,9</t>
  </si>
  <si>
    <t>Field_1-300-base-mobile: base, WEB,10</t>
  </si>
  <si>
    <t>Field_1-300-base-mobile: base, WEB,11</t>
  </si>
  <si>
    <t>Field_1-300-base-mobile: base, WEB,12</t>
  </si>
  <si>
    <t>Field_1-300-base-mobile: base, WEB,13</t>
  </si>
  <si>
    <t>Field_1-300-base-mobile: base, WEB,14</t>
  </si>
  <si>
    <t>Field_1-300-base-mobile: base, WEB,15</t>
  </si>
  <si>
    <t>Field_2-302-base-mobile: mobile,WEB,2</t>
  </si>
  <si>
    <t>Field_2-302-base-mobile: mobile,WEB,3</t>
  </si>
  <si>
    <t>Field_2-302-base-mobile: mobile,WEB,4</t>
  </si>
  <si>
    <t>Field_2-302-base-mobile: mobile,WEB,5</t>
  </si>
  <si>
    <t>Field_2-302-base-mobile: mobile,WEB,6</t>
  </si>
  <si>
    <t>Field_2-302-base-mobile: mobile,WEB,7</t>
  </si>
  <si>
    <t>Field_2-302-base-mobile: mobile,WEB,8</t>
  </si>
  <si>
    <t>Field_2-302-base-mobile: mobile,WEB,9</t>
  </si>
  <si>
    <t>Field_2-302-base-mobile: mobile,WEB,10</t>
  </si>
  <si>
    <t>Field_2-302-base-mobile: mobile,WEB,11</t>
  </si>
  <si>
    <t>Field_2-302-base-mobile: mobile,WEB,12</t>
  </si>
  <si>
    <t>Field_2-302-base-mobile: mobile,WEB,13</t>
  </si>
  <si>
    <t>Field_2-302-base-mobile: mobile,WEB,14</t>
  </si>
  <si>
    <t>Field_2-302-base-mobile: mobile,WEB,15</t>
  </si>
  <si>
    <t>Field_3-301-NULL, WEB,2</t>
  </si>
  <si>
    <t>Field_3-301-NULL, WEB,3</t>
  </si>
  <si>
    <t>Field_3-301-NULL, WEB,4</t>
  </si>
  <si>
    <t>Field_3-301-NULL, WEB,5</t>
  </si>
  <si>
    <t>Field_3-301-NULL, WEB,6</t>
  </si>
  <si>
    <t>Field_3-301-NULL, WEB,7</t>
  </si>
  <si>
    <t>Field_3-301-NULL, WEB,8</t>
  </si>
  <si>
    <t>Field_3-301-NULL, WEB,9</t>
  </si>
  <si>
    <t>Field_3-301-NULL, WEB,10</t>
  </si>
  <si>
    <t>Field_3-301-NULL, WEB,11</t>
  </si>
  <si>
    <t>Field_3-301-NULL, WEB,12</t>
  </si>
  <si>
    <t>Field_3-301-NULL, WEB,13</t>
  </si>
  <si>
    <t>Field_3-301-NULL, WEB,14</t>
  </si>
  <si>
    <t>Field_3-301-NULL, WEB,15</t>
  </si>
  <si>
    <t>Field_4-300-NULL,WEB ,2</t>
  </si>
  <si>
    <t>Field_4-300-NULL,WEB ,3</t>
  </si>
  <si>
    <t>Field_4-300-NULL,WEB ,4</t>
  </si>
  <si>
    <t>Field_4-300-NULL,WEB ,5</t>
  </si>
  <si>
    <t>Field_4-300-NULL,WEB ,6</t>
  </si>
  <si>
    <t>Field_4-300-NULL,WEB ,7</t>
  </si>
  <si>
    <t>Field_4-300-NULL,WEB ,8</t>
  </si>
  <si>
    <t>Field_4-300-NULL,WEB ,9</t>
  </si>
  <si>
    <t>Field_4-300-NULL,WEB ,10</t>
  </si>
  <si>
    <t>Field_4-300-NULL,WEB ,11</t>
  </si>
  <si>
    <t>Field_4-300-NULL,WEB ,12</t>
  </si>
  <si>
    <t>Field_4-300-NULL,WEB ,13</t>
  </si>
  <si>
    <t>Field_4-300-NULL,WEB ,14</t>
  </si>
  <si>
    <t>Field_4-300-NULL,WEB ,15</t>
  </si>
  <si>
    <t>Field_5-302-NULL, WEB ,2</t>
  </si>
  <si>
    <t>Field_5-302-NULL, WEB ,3</t>
  </si>
  <si>
    <t>Field_5-302-NULL, WEB ,4</t>
  </si>
  <si>
    <t>Field_5-302-NULL, WEB ,5</t>
  </si>
  <si>
    <t>Field_5-302-NULL, WEB ,6</t>
  </si>
  <si>
    <t>Field_5-302-NULL, WEB ,7</t>
  </si>
  <si>
    <t>Field_5-302-NULL, WEB ,8</t>
  </si>
  <si>
    <t>Field_5-302-NULL, WEB ,9</t>
  </si>
  <si>
    <t>Field_5-302-NULL, WEB ,10</t>
  </si>
  <si>
    <t>Field_5-302-NULL, WEB ,11</t>
  </si>
  <si>
    <t>Field_5-302-NULL, WEB ,12</t>
  </si>
  <si>
    <t>Field_5-302-NULL, WEB ,13</t>
  </si>
  <si>
    <t>Field_5-302-NULL, WEB ,14</t>
  </si>
  <si>
    <t>Field_5-302-NULL, WEB ,15</t>
  </si>
  <si>
    <t>Field_1-301-NULL, WEB, 2</t>
  </si>
  <si>
    <t>Field_1-301-NULL, WEB, 3</t>
  </si>
  <si>
    <t>Field_1-301-NULL, WEB, 4</t>
  </si>
  <si>
    <t>Field_1-301-NULL, WEB, 5</t>
  </si>
  <si>
    <t>Field_1-301-NULL, WEB, 6</t>
  </si>
  <si>
    <t>Field_1-301-NULL, WEB, 7</t>
  </si>
  <si>
    <t>Field_1-301-NULL, WEB, 8</t>
  </si>
  <si>
    <t>Field_1-301-NULL, WEB, 9</t>
  </si>
  <si>
    <t>Field_1-301-NULL, WEB, 10</t>
  </si>
  <si>
    <t>Field_1-301-NULL, WEB, 11</t>
  </si>
  <si>
    <t>Field_1-301-NULL, WEB, 12</t>
  </si>
  <si>
    <t>Field_1-301-NULL, WEB, 13</t>
  </si>
  <si>
    <t>Field_1-301-NULL, WEB, 14</t>
  </si>
  <si>
    <t>Field_1-301-NULL, WEB, 15</t>
  </si>
  <si>
    <t>Field_2-302-base-mobile: base, WEB, 2</t>
  </si>
  <si>
    <t>Field_2-302-base-mobile: base, WEB, 3</t>
  </si>
  <si>
    <t>Field_2-302-base-mobile: base, WEB, 4</t>
  </si>
  <si>
    <t>Field_2-302-base-mobile: base, WEB, 5</t>
  </si>
  <si>
    <t>Field_2-302-base-mobile: base, WEB, 6</t>
  </si>
  <si>
    <t>Field_2-302-base-mobile: base, WEB, 7</t>
  </si>
  <si>
    <t>Field_2-302-base-mobile: base, WEB, 8</t>
  </si>
  <si>
    <t>Field_2-302-base-mobile: base, WEB, 9</t>
  </si>
  <si>
    <t>Field_2-302-base-mobile: base, WEB, 10</t>
  </si>
  <si>
    <t>Field_2-302-base-mobile: base, WEB, 11</t>
  </si>
  <si>
    <t>Field_2-302-base-mobile: base, WEB, 12</t>
  </si>
  <si>
    <t>Field_2-302-base-mobile: base, WEB, 13</t>
  </si>
  <si>
    <t>Field_2-302-base-mobile: base, WEB, 14</t>
  </si>
  <si>
    <t>Field_2-302-base-mobile: base, WEB, 15</t>
  </si>
  <si>
    <t>Field_6-300-base-mobile: base, WEB, 2</t>
  </si>
  <si>
    <t>Field_6-300-base-mobile: base, WEB, 3</t>
  </si>
  <si>
    <t>Field_6-300-base-mobile: base, WEB, 4</t>
  </si>
  <si>
    <t>Field_6-300-base-mobile: base, WEB, 5</t>
  </si>
  <si>
    <t>Field_6-300-base-mobile: base, WEB, 6</t>
  </si>
  <si>
    <t>Field_6-300-base-mobile: base, WEB, 7</t>
  </si>
  <si>
    <t>Field_6-300-base-mobile: base, WEB, 8</t>
  </si>
  <si>
    <t>Field_6-300-base-mobile: base, WEB, 9</t>
  </si>
  <si>
    <t>Field_6-300-base-mobile: base, WEB, 10</t>
  </si>
  <si>
    <t>Field_6-300-base-mobile: base, WEB, 11</t>
  </si>
  <si>
    <t>Field_6-300-base-mobile: base, WEB, 12</t>
  </si>
  <si>
    <t>Field_6-300-base-mobile: base, WEB, 13</t>
  </si>
  <si>
    <t>Field_6-300-base-mobile: base, WEB, 14</t>
  </si>
  <si>
    <t>Field_6-300-base-mobile: base, WEB, 15</t>
  </si>
  <si>
    <t>Field_7 - 301 - NULL, WEB, 2</t>
  </si>
  <si>
    <t>Field_7 - 301 - NULL, WEB, 3</t>
  </si>
  <si>
    <t>Field_7 - 301 - NULL, WEB, 4</t>
  </si>
  <si>
    <t>Field_7 - 301 - NULL, WEB, 5</t>
  </si>
  <si>
    <t>Field_7 - 301 - NULL, WEB, 6</t>
  </si>
  <si>
    <t>Field_7 - 301 - NULL, WEB, 7</t>
  </si>
  <si>
    <t>Field_7 - 301 - NULL, WEB, 8</t>
  </si>
  <si>
    <t>Field_7 - 301 - NULL, WEB, 9</t>
  </si>
  <si>
    <t>Field_7 - 301 - NULL, WEB, 10</t>
  </si>
  <si>
    <t>Field_7 - 301 - NULL, WEB, 11</t>
  </si>
  <si>
    <t>Field_7 - 301 - NULL, WEB, 12</t>
  </si>
  <si>
    <t>Field_7 - 301 - NULL, WEB, 13</t>
  </si>
  <si>
    <t>Field_7 - 301 - NULL, WEB, 14</t>
  </si>
  <si>
    <t>Field_7 - 301 - NULL, WEB, 15</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</si>
  <si>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</si>
  <si>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</si>
  <si>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</si>
  <si>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</si>
  <si>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</si>
  <si>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</si>
  <si>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</si>
  <si>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</si>
  <si>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</si>
  <si>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</si>
  <si>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</si>
  <si>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</si>
  <si>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</si>
  <si>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</si>
  <si>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</si>
  <si>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</si>
  <si>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</si>
  <si>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</si>
  <si>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</si>
  <si>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</si>
  <si>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</si>
  <si>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</si>
  <si>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</si>
  <si>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</si>
  <si>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</si>
  <si>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</si>
  <si>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</si>
  <si>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</si>
  <si>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</si>
  <si>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</si>
  <si>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</si>
  <si>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</si>
  <si>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</si>
  <si>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</si>
  <si>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</si>
  <si>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</si>
  <si>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</si>
  <si>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</si>
  <si>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</si>
  <si>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</si>
  <si>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</si>
  <si>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</si>
  <si>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</si>
  <si>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</si>
  <si>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</si>
  <si>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</si>
  <si>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</si>
  <si>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</si>
  <si>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</si>
  <si>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</si>
  <si>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</si>
  <si>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</si>
  <si>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</si>
  <si>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</si>
  <si>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</si>
  <si>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</si>
  <si>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</si>
  <si>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</si>
  <si>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</si>
  <si>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</si>
  <si>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</si>
  <si>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</si>
  <si>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</si>
  <si>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</si>
  <si>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</si>
  <si>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</si>
  <si>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</si>
  <si>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</si>
  <si>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</si>
  <si>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</si>
  <si>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</si>
  <si>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</si>
  <si>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</si>
  <si>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</si>
  <si>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</si>
  <si>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</si>
  <si>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</si>
  <si>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</si>
  <si>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</si>
  <si>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</si>
  <si>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</si>
  <si>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</si>
  <si>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</si>
  <si>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</si>
  <si>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</si>
  <si>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</si>
  <si>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</si>
  <si>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</si>
  <si>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</si>
  <si>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</si>
  <si>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</si>
  <si>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</si>
  <si>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</si>
  <si>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</si>
  <si>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</si>
  <si>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</si>
  <si>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</si>
  <si>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</si>
  <si>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</si>
  <si>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</si>
  <si>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</si>
  <si>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</si>
  <si>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</si>
  <si>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</si>
  <si>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</si>
  <si>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</si>
  <si>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</si>
  <si>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</si>
  <si>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</si>
  <si>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</si>
  <si>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</si>
  <si>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</si>
  <si>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</si>
  <si>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</si>
  <si>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</si>
  <si>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</si>
  <si>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</si>
  <si>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</si>
  <si>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</si>
  <si>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</si>
  <si>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</si>
  <si>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</si>
  <si>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</si>
  <si>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</si>
  <si>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</si>
  <si>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</si>
  <si>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</si>
  <si>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</si>
  <si>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</si>
  <si>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</si>
  <si>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</si>
  <si>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</si>
  <si>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</si>
  <si>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</si>
  <si>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</si>
  <si>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</si>
  <si>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</si>
  <si>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</si>
  <si>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</si>
  <si>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</si>
  <si>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</si>
  <si>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</si>
  <si>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</si>
  <si>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</si>
  <si>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</si>
  <si>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</si>
  <si>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</si>
  <si>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</si>
  <si>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</si>
  <si>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</si>
  <si>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</si>
  <si>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</si>
  <si>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</si>
  <si>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</si>
  <si>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</si>
  <si>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</si>
  <si>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</si>
  <si>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</si>
  <si>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</si>
  <si>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</si>
  <si>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</si>
  <si>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</si>
  <si>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</si>
  <si>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</si>
  <si>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</si>
  <si>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</si>
  <si>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</si>
  <si>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</si>
  <si>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</si>
  <si>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</si>
  <si>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</si>
  <si>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</si>
  <si>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</si>
  <si>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</si>
  <si>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</si>
  <si>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</si>
  <si>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</si>
  <si>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</si>
  <si>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</si>
  <si>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</si>
  <si>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</si>
  <si>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</si>
  <si>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</si>
  <si>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</si>
  <si>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</si>
  <si>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</si>
  <si>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</si>
  <si>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</si>
  <si>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</si>
  <si>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</si>
  <si>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</si>
  <si>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</si>
  <si>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</si>
  <si>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</si>
  <si>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</si>
  <si>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</si>
  <si>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</si>
  <si>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</si>
  <si>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</si>
  <si>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</si>
  <si>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</si>
  <si>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</si>
  <si>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</si>
  <si>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</si>
  <si>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</si>
  <si>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</si>
  <si>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</si>
  <si>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</si>
  <si>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</si>
  <si>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</si>
  <si>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</si>
  <si>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</si>
  <si>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</si>
  <si>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</si>
  <si>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</si>
  <si>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</si>
  <si>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</si>
  <si>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</si>
  <si>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</si>
  <si>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</si>
  <si>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</si>
  <si>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</si>
  <si>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</si>
  <si>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</si>
  <si>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</si>
  <si>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</si>
  <si>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</si>
  <si>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</si>
  <si>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</si>
  <si>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</si>
  <si>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</si>
  <si>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</si>
  <si>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</si>
  <si>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</si>
  <si>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</si>
  <si>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</si>
  <si>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</si>
  <si>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</si>
  <si>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</si>
  <si>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</si>
  <si>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</si>
  <si>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</si>
  <si>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</si>
  <si>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</si>
  <si>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</si>
  <si>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</si>
  <si>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</si>
  <si>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</si>
  <si>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</si>
  <si>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</si>
  <si>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</si>
  <si>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</si>
  <si>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</si>
  <si>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</si>
  <si>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</si>
  <si>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</si>
  <si>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</si>
  <si>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</si>
  <si>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</si>
  <si>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</si>
  <si>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</si>
  <si>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</si>
  <si>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</si>
  <si>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</si>
  <si>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</si>
  <si>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</si>
  <si>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</si>
  <si>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</si>
  <si>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</si>
  <si>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</si>
  <si>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</si>
  <si>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</si>
  <si>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</si>
  <si>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</si>
  <si>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</si>
  <si>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</si>
  <si>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</si>
  <si>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</si>
  <si>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</si>
  <si>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</si>
  <si>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</si>
  <si>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</si>
  <si>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</si>
  <si>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</si>
  <si>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</si>
  <si>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</si>
  <si>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</si>
  <si>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</si>
  <si>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</si>
  <si>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</si>
  <si>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</si>
  <si>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</si>
  <si>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</si>
  <si>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</si>
  <si>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</si>
  <si>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</si>
  <si>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</si>
  <si>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</si>
  <si>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</si>
  <si>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</si>
  <si>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</si>
  <si>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</si>
  <si>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</si>
  <si>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</si>
  <si>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</si>
  <si>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</si>
  <si>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</si>
  <si>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</si>
  <si>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</si>
  <si>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</si>
  <si>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</si>
  <si>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</si>
  <si>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</si>
  <si>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</si>
  <si>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</si>
  <si>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</si>
  <si>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</si>
  <si>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</si>
  <si>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</si>
  <si>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</si>
  <si>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</si>
  <si>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</si>
  <si>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</si>
  <si>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</si>
  <si>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</si>
  <si>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</si>
  <si>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</si>
  <si>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</si>
  <si>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</si>
  <si>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</si>
  <si>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</si>
  <si>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</si>
  <si>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</si>
  <si>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</si>
  <si>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</si>
  <si>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</si>
  <si>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</si>
  <si>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</si>
  <si>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</si>
  <si>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</si>
  <si>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</si>
  <si>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</si>
  <si>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</si>
  <si>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</si>
  <si>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</si>
  <si>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</si>
  <si>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</si>
  <si>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</si>
  <si>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</si>
  <si>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</si>
  <si>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</si>
  <si>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</si>
  <si>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</si>
  <si>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</si>
  <si>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</si>
  <si>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</si>
  <si>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</si>
  <si>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</si>
  <si>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</si>
  <si>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</si>
  <si>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</si>
  <si>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</si>
  <si>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</si>
  <si>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</si>
  <si>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</si>
  <si>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t>
  </si>
  <si>
    <t>AP_NAME_OLD_SYSTEM</t>
  </si>
  <si>
    <t>AP_NAME_REFERENCE</t>
  </si>
  <si>
    <t>AP_PRJ_IDENT</t>
  </si>
  <si>
    <t>AP_CONCESSION_IDENT</t>
  </si>
  <si>
    <t>AP_REQUEST_TYPE</t>
  </si>
  <si>
    <t>AP_ACTION_TYPE</t>
  </si>
  <si>
    <t>AP_REGISTER_PERSON</t>
  </si>
  <si>
    <t>AP_REF_NUMBER</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</si>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</sst>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0"/>
      <name val="Arial"/>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9"/>
      <color indexed="81"/>
      <name val="Tahoma"/>
      <family val="2"/>
    </font>
    <font>
      <b/>
      <sz val="9"/>
      <color indexed="81"/>
      <name val="Tahoma"/>
      <family val="2"/>
    </font>
    <font>
      <b/>
      <sz val="11"/>
      <name val="Arial"/>
      <family val="2"/>
    </font>
    <font>
      <sz val="14"/>
      <color indexed="81"/>
      <name val="Tahoma"/>
      <family val="2"/>
    </font>
    <font>
      <sz val="11"/>
      <color indexed="81"/>
      <name val="Tahoma"/>
      <family val="2"/>
    </font>
    <font>
      <sz val="10"/>
      <color indexed="81"/>
      <name val="Tahoma"/>
      <family val="2"/>
    </font>
    <font>
      <b/>
      <sz val="10"/>
      <color indexed="81"/>
      <name val="Tahoma"/>
      <family val="2"/>
    </font>
    <font>
      <sz val="8"/>
      <name val="Arial"/>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FF0000"/>
      <name val="Arial"/>
      <family val="2"/>
    </font>
    <font>
      <sz val="10"/>
      <color rgb="FF000000"/>
      <name val="Arial"/>
      <family val="2"/>
    </font>
    <font>
      <sz val="10"/>
      <color rgb="FF00B050"/>
      <name val="Arial"/>
      <family val="2"/>
    </font>
    <font>
      <i/>
      <sz val="10"/>
      <name val="Arial"/>
      <family val="2"/>
    </font>
  </fonts>
  <fills count="35">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indexed="42"/>
        <bgColor indexed="64"/>
      </patternFill>
    </fill>
    <fill>
      <patternFill patternType="solid">
        <fgColor indexed="44"/>
        <bgColor indexed="64"/>
      </patternFill>
    </fill>
    <fill>
      <patternFill patternType="solid">
        <fgColor indexed="49"/>
        <bgColor indexed="64"/>
      </patternFill>
    </fill>
    <fill>
      <patternFill patternType="solid">
        <fgColor rgb="FFFFFFCC"/>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42">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3" fillId="4" borderId="0" applyNumberFormat="0" applyBorder="0" applyAlignment="0" applyProtection="0"/>
    <xf numFmtId="0" fontId="14" fillId="16" borderId="1" applyNumberFormat="0" applyAlignment="0" applyProtection="0"/>
    <xf numFmtId="0" fontId="15" fillId="17" borderId="2"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0" fontId="2" fillId="18" borderId="0" applyNumberFormat="0">
      <alignment vertical="center"/>
    </xf>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35" fillId="0" borderId="0" applyNumberFormat="0" applyFill="0" applyBorder="0" applyAlignment="0" applyProtection="0"/>
    <xf numFmtId="0" fontId="21" fillId="2" borderId="1" applyNumberFormat="0" applyAlignment="0" applyProtection="0"/>
    <xf numFmtId="0" fontId="22" fillId="0" borderId="6" applyNumberFormat="0" applyFill="0" applyAlignment="0" applyProtection="0"/>
    <xf numFmtId="0" fontId="23" fillId="19" borderId="0" applyNumberFormat="0" applyBorder="0" applyAlignment="0" applyProtection="0"/>
    <xf numFmtId="0" fontId="36" fillId="0" borderId="0"/>
    <xf numFmtId="0" fontId="7" fillId="0" borderId="0"/>
    <xf numFmtId="0" fontId="7" fillId="20" borderId="7" applyNumberFormat="0" applyFont="0" applyAlignment="0" applyProtection="0"/>
    <xf numFmtId="0" fontId="11" fillId="28" borderId="28" applyNumberFormat="0" applyFont="0" applyAlignment="0" applyProtection="0"/>
    <xf numFmtId="0" fontId="24" fillId="16" borderId="8"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 fillId="0" borderId="0"/>
  </cellStyleXfs>
  <cellXfs count="152">
    <xf numFmtId="0" fontId="0" fillId="0" borderId="0" xfId="0"/>
    <xf numFmtId="0" fontId="6" fillId="21" borderId="9" xfId="0" applyFont="1" applyFill="1" applyBorder="1"/>
    <xf numFmtId="0" fontId="6" fillId="21" borderId="10" xfId="0" applyFont="1" applyFill="1" applyBorder="1"/>
    <xf numFmtId="0" fontId="6" fillId="21" borderId="11" xfId="0" applyFont="1" applyFill="1" applyBorder="1"/>
    <xf numFmtId="0" fontId="0" fillId="22" borderId="0" xfId="0" applyFill="1"/>
    <xf numFmtId="0" fontId="0" fillId="23" borderId="0" xfId="0" applyFill="1"/>
    <xf numFmtId="0" fontId="3" fillId="0" borderId="0" xfId="0" applyFont="1"/>
    <xf numFmtId="0" fontId="10" fillId="24" borderId="0" xfId="0" applyFont="1" applyFill="1"/>
    <xf numFmtId="0" fontId="0" fillId="0" borderId="0" xfId="0" applyBorder="1"/>
    <xf numFmtId="0" fontId="0" fillId="0" borderId="0" xfId="0" applyAlignment="1">
      <alignment wrapText="1"/>
    </xf>
    <xf numFmtId="0" fontId="7" fillId="0" borderId="0" xfId="0" applyFont="1"/>
    <xf numFmtId="0" fontId="0" fillId="0" borderId="0" xfId="0" applyAlignment="1">
      <alignment horizontal="left" vertical="top"/>
    </xf>
    <xf numFmtId="0" fontId="7"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7" fillId="21" borderId="12" xfId="0" applyFont="1" applyFill="1" applyBorder="1" applyAlignment="1">
      <alignment horizontal="left" vertical="top" wrapText="1"/>
    </xf>
    <xf numFmtId="0" fontId="29" fillId="21" borderId="12" xfId="0" applyFont="1" applyFill="1" applyBorder="1" applyAlignment="1">
      <alignment horizontal="left" vertical="top"/>
    </xf>
    <xf numFmtId="0" fontId="29" fillId="21" borderId="12" xfId="0" applyFont="1" applyFill="1" applyBorder="1" applyAlignment="1">
      <alignment horizontal="left" vertical="top" wrapText="1"/>
    </xf>
    <xf numFmtId="0" fontId="0" fillId="0" borderId="0" xfId="0" applyFill="1"/>
    <xf numFmtId="0" fontId="0" fillId="0" borderId="0" xfId="0" applyFill="1" applyBorder="1"/>
    <xf numFmtId="0" fontId="0" fillId="0" borderId="0" xfId="0" applyFill="1" applyAlignment="1"/>
    <xf numFmtId="0" fontId="3" fillId="27" borderId="12" xfId="0" applyFont="1" applyFill="1" applyBorder="1" applyAlignment="1">
      <alignment horizontal="center" vertical="center" wrapText="1"/>
    </xf>
    <xf numFmtId="0" fontId="0" fillId="26" borderId="12" xfId="0" applyFill="1" applyBorder="1" applyAlignment="1">
      <alignment horizontal="center" vertical="center"/>
    </xf>
    <xf numFmtId="0" fontId="7" fillId="25" borderId="12" xfId="0" applyFont="1" applyFill="1" applyBorder="1" applyAlignment="1">
      <alignment vertical="center" wrapText="1"/>
    </xf>
    <xf numFmtId="0" fontId="7" fillId="27" borderId="12" xfId="0" applyFont="1" applyFill="1" applyBorder="1" applyAlignment="1">
      <alignment horizontal="left" vertical="center" wrapText="1"/>
    </xf>
    <xf numFmtId="0" fontId="7" fillId="27" borderId="16" xfId="0" applyFont="1" applyFill="1" applyBorder="1" applyAlignment="1">
      <alignment horizontal="left" vertical="center" wrapText="1"/>
    </xf>
    <xf numFmtId="0" fontId="0" fillId="26" borderId="16" xfId="0" applyFill="1" applyBorder="1" applyAlignment="1">
      <alignment horizontal="center" vertical="center"/>
    </xf>
    <xf numFmtId="0" fontId="3" fillId="27" borderId="17" xfId="0" applyFont="1" applyFill="1" applyBorder="1" applyAlignment="1">
      <alignment horizontal="center" vertical="center" wrapText="1"/>
    </xf>
    <xf numFmtId="0" fontId="3" fillId="27" borderId="18" xfId="0" applyFont="1" applyFill="1" applyBorder="1" applyAlignment="1">
      <alignment horizontal="center" vertical="center" wrapText="1"/>
    </xf>
    <xf numFmtId="0" fontId="3" fillId="26" borderId="18" xfId="0" applyFont="1" applyFill="1" applyBorder="1" applyAlignment="1">
      <alignment horizontal="center" vertical="center" wrapText="1"/>
    </xf>
    <xf numFmtId="0" fontId="4" fillId="24" borderId="12" xfId="0" applyFont="1" applyFill="1" applyBorder="1" applyAlignment="1">
      <alignment horizontal="center" vertical="center" wrapText="1"/>
    </xf>
    <xf numFmtId="0" fontId="5" fillId="24" borderId="22" xfId="0" applyFont="1" applyFill="1" applyBorder="1" applyAlignment="1">
      <alignment horizontal="center" vertical="center"/>
    </xf>
    <xf numFmtId="0" fontId="3" fillId="26" borderId="10" xfId="0" applyFont="1" applyFill="1" applyBorder="1" applyAlignment="1">
      <alignment horizontal="center" vertical="center" wrapText="1"/>
    </xf>
    <xf numFmtId="0" fontId="4" fillId="27" borderId="0" xfId="0" applyFont="1" applyFill="1" applyBorder="1" applyAlignment="1">
      <alignment horizontal="center" vertical="center" wrapText="1"/>
    </xf>
    <xf numFmtId="0" fontId="3" fillId="27" borderId="0" xfId="0" applyFont="1" applyFill="1" applyBorder="1" applyAlignment="1">
      <alignment horizontal="center" vertical="center" wrapText="1"/>
    </xf>
    <xf numFmtId="0" fontId="3" fillId="25" borderId="14" xfId="0" applyFont="1" applyFill="1" applyBorder="1" applyAlignment="1">
      <alignment horizontal="center" vertical="center" wrapText="1"/>
    </xf>
    <xf numFmtId="0" fontId="7" fillId="26" borderId="16" xfId="0" applyFont="1" applyFill="1" applyBorder="1" applyAlignment="1">
      <alignment horizontal="center" vertical="center"/>
    </xf>
    <xf numFmtId="0" fontId="3" fillId="27" borderId="26" xfId="0" applyFont="1" applyFill="1" applyBorder="1" applyAlignment="1">
      <alignment horizontal="center" vertical="center" wrapText="1"/>
    </xf>
    <xf numFmtId="2" fontId="0" fillId="0" borderId="0" xfId="0" applyNumberFormat="1"/>
    <xf numFmtId="2" fontId="29"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7" fillId="29" borderId="12" xfId="0" applyFont="1" applyFill="1" applyBorder="1" applyAlignment="1">
      <alignment horizontal="center"/>
    </xf>
    <xf numFmtId="0" fontId="7" fillId="30" borderId="12" xfId="0" applyFont="1" applyFill="1" applyBorder="1" applyAlignment="1">
      <alignment horizontal="center"/>
    </xf>
    <xf numFmtId="0" fontId="7" fillId="29" borderId="16" xfId="0" applyFont="1" applyFill="1" applyBorder="1" applyAlignment="1">
      <alignment horizontal="center"/>
    </xf>
    <xf numFmtId="0" fontId="7" fillId="29" borderId="16" xfId="0" applyFont="1" applyFill="1" applyBorder="1" applyAlignment="1">
      <alignment horizontal="left"/>
    </xf>
    <xf numFmtId="0" fontId="7" fillId="29" borderId="12" xfId="0" applyFont="1" applyFill="1" applyBorder="1" applyAlignment="1">
      <alignment horizontal="left"/>
    </xf>
    <xf numFmtId="0" fontId="7" fillId="30" borderId="12" xfId="0" applyFont="1" applyFill="1" applyBorder="1" applyAlignment="1">
      <alignment horizontal="left"/>
    </xf>
    <xf numFmtId="0" fontId="0" fillId="29" borderId="16" xfId="0" applyFill="1" applyBorder="1" applyAlignment="1">
      <alignment horizontal="left" wrapText="1"/>
    </xf>
    <xf numFmtId="0" fontId="7" fillId="29" borderId="12" xfId="0" applyFont="1" applyFill="1" applyBorder="1" applyAlignment="1">
      <alignment horizontal="center" vertical="center" wrapText="1"/>
    </xf>
    <xf numFmtId="0" fontId="0" fillId="32" borderId="32" xfId="0" applyFill="1" applyBorder="1"/>
    <xf numFmtId="0" fontId="7" fillId="0" borderId="13" xfId="0" applyFont="1" applyFill="1" applyBorder="1" applyAlignment="1">
      <alignment horizontal="center"/>
    </xf>
    <xf numFmtId="0" fontId="7" fillId="0" borderId="13" xfId="0" applyFont="1" applyFill="1" applyBorder="1" applyAlignment="1">
      <alignment horizontal="left"/>
    </xf>
    <xf numFmtId="0" fontId="3" fillId="31" borderId="33" xfId="0" applyFont="1" applyFill="1" applyBorder="1" applyAlignment="1">
      <alignment horizontal="center" wrapText="1"/>
    </xf>
    <xf numFmtId="0" fontId="3" fillId="31" borderId="34" xfId="0" applyFont="1" applyFill="1" applyBorder="1" applyAlignment="1">
      <alignment horizontal="center"/>
    </xf>
    <xf numFmtId="0" fontId="3" fillId="31" borderId="34" xfId="0" applyFont="1" applyFill="1" applyBorder="1" applyAlignment="1">
      <alignment horizontal="center" wrapText="1"/>
    </xf>
    <xf numFmtId="0" fontId="0" fillId="29" borderId="12" xfId="0" applyFill="1" applyBorder="1" applyAlignment="1">
      <alignment horizontal="left" wrapText="1"/>
    </xf>
    <xf numFmtId="0" fontId="7" fillId="30" borderId="14" xfId="0" applyFont="1" applyFill="1" applyBorder="1" applyAlignment="1">
      <alignment horizontal="center"/>
    </xf>
    <xf numFmtId="0" fontId="3" fillId="29" borderId="16" xfId="0" applyFont="1" applyFill="1" applyBorder="1" applyAlignment="1">
      <alignment horizontal="center"/>
    </xf>
    <xf numFmtId="0" fontId="3" fillId="30" borderId="16" xfId="0" applyFont="1" applyFill="1" applyBorder="1" applyAlignment="1">
      <alignment horizontal="center"/>
    </xf>
    <xf numFmtId="0" fontId="7" fillId="30" borderId="16" xfId="0" applyFont="1" applyFill="1" applyBorder="1" applyAlignment="1">
      <alignment horizontal="center"/>
    </xf>
    <xf numFmtId="0" fontId="7" fillId="29" borderId="0" xfId="0" applyFont="1" applyFill="1" applyBorder="1" applyAlignment="1">
      <alignment horizontal="center"/>
    </xf>
    <xf numFmtId="0" fontId="7" fillId="33" borderId="0" xfId="0" applyFont="1" applyFill="1"/>
    <xf numFmtId="0" fontId="0" fillId="33" borderId="0" xfId="0" applyFill="1"/>
    <xf numFmtId="0" fontId="0" fillId="33" borderId="0" xfId="0" applyFill="1" applyAlignment="1">
      <alignment horizontal="center"/>
    </xf>
    <xf numFmtId="0" fontId="3" fillId="26" borderId="24" xfId="0" applyFont="1" applyFill="1" applyBorder="1" applyAlignment="1">
      <alignment horizontal="center" vertical="center" wrapText="1"/>
    </xf>
    <xf numFmtId="0" fontId="3" fillId="27" borderId="12" xfId="0" applyFont="1" applyFill="1" applyBorder="1" applyAlignment="1">
      <alignment horizontal="left" vertical="center" wrapText="1"/>
    </xf>
    <xf numFmtId="0" fontId="7" fillId="29" borderId="15" xfId="0" applyFont="1" applyFill="1" applyBorder="1" applyAlignment="1">
      <alignment horizontal="center"/>
    </xf>
    <xf numFmtId="0" fontId="7" fillId="29" borderId="15" xfId="0" applyFont="1" applyFill="1" applyBorder="1" applyAlignment="1">
      <alignment horizontal="left"/>
    </xf>
    <xf numFmtId="0" fontId="7" fillId="26" borderId="0" xfId="0" applyFont="1" applyFill="1" applyBorder="1" applyAlignment="1">
      <alignment horizontal="center" vertical="center"/>
    </xf>
    <xf numFmtId="0" fontId="41" fillId="29" borderId="12" xfId="0" applyFont="1" applyFill="1" applyBorder="1" applyAlignment="1">
      <alignment horizontal="center"/>
    </xf>
    <xf numFmtId="0" fontId="41" fillId="29" borderId="12" xfId="0" applyFont="1" applyFill="1" applyBorder="1" applyAlignment="1">
      <alignment horizontal="left"/>
    </xf>
    <xf numFmtId="0" fontId="7" fillId="0" borderId="36" xfId="0" applyFont="1" applyFill="1" applyBorder="1" applyAlignment="1">
      <alignment vertical="center"/>
    </xf>
    <xf numFmtId="0" fontId="7" fillId="0" borderId="29" xfId="0" applyFont="1" applyFill="1" applyBorder="1" applyAlignment="1">
      <alignment vertical="center"/>
    </xf>
    <xf numFmtId="0" fontId="7" fillId="0" borderId="37" xfId="0" applyFont="1" applyFill="1" applyBorder="1" applyAlignment="1">
      <alignment vertical="center"/>
    </xf>
    <xf numFmtId="0" fontId="7" fillId="0" borderId="38" xfId="0" applyFont="1" applyFill="1" applyBorder="1" applyAlignment="1">
      <alignment vertical="center"/>
    </xf>
    <xf numFmtId="0" fontId="7" fillId="0" borderId="19" xfId="0" applyFont="1" applyFill="1" applyBorder="1" applyAlignment="1">
      <alignment vertical="center"/>
    </xf>
    <xf numFmtId="0" fontId="7" fillId="0" borderId="39" xfId="0" applyFont="1" applyFill="1" applyBorder="1" applyAlignment="1">
      <alignment vertical="center"/>
    </xf>
    <xf numFmtId="0" fontId="41" fillId="30" borderId="12" xfId="0" applyFont="1" applyFill="1" applyBorder="1" applyAlignment="1">
      <alignment horizontal="center"/>
    </xf>
    <xf numFmtId="0" fontId="41" fillId="30" borderId="12" xfId="0" applyFont="1" applyFill="1" applyBorder="1" applyAlignment="1">
      <alignment horizontal="left"/>
    </xf>
    <xf numFmtId="0" fontId="0" fillId="26" borderId="11" xfId="0" applyFill="1" applyBorder="1" applyAlignment="1">
      <alignment horizontal="center" vertical="center"/>
    </xf>
    <xf numFmtId="0" fontId="7" fillId="26" borderId="11" xfId="0" applyFont="1" applyFill="1" applyBorder="1" applyAlignment="1">
      <alignment horizontal="center" vertical="center"/>
    </xf>
    <xf numFmtId="0" fontId="7" fillId="26" borderId="12" xfId="0" applyFont="1" applyFill="1" applyBorder="1" applyAlignment="1">
      <alignment horizontal="center" vertical="center"/>
    </xf>
    <xf numFmtId="0" fontId="7"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0" fillId="29" borderId="12" xfId="0" applyFill="1" applyBorder="1" applyAlignment="1">
      <alignment wrapText="1"/>
    </xf>
    <xf numFmtId="0" fontId="7" fillId="30" borderId="12" xfId="0" applyFont="1" applyFill="1" applyBorder="1" applyAlignment="1"/>
    <xf numFmtId="0" fontId="7" fillId="30" borderId="14" xfId="0" applyFont="1" applyFill="1" applyBorder="1" applyAlignment="1">
      <alignment horizontal="left"/>
    </xf>
    <xf numFmtId="0" fontId="0" fillId="26" borderId="20" xfId="0" applyFill="1" applyBorder="1" applyAlignment="1">
      <alignment horizontal="center" vertical="center"/>
    </xf>
    <xf numFmtId="0" fontId="7" fillId="26" borderId="20" xfId="0" applyFont="1" applyFill="1" applyBorder="1" applyAlignment="1">
      <alignment horizontal="center" vertical="center"/>
    </xf>
    <xf numFmtId="0" fontId="0" fillId="26" borderId="0" xfId="0" applyFill="1" applyBorder="1" applyAlignment="1">
      <alignment horizontal="center" vertical="center"/>
    </xf>
    <xf numFmtId="0" fontId="0" fillId="26" borderId="25" xfId="0" applyFill="1" applyBorder="1" applyAlignment="1">
      <alignment horizontal="center" vertical="center"/>
    </xf>
    <xf numFmtId="0" fontId="7" fillId="26" borderId="25" xfId="0" applyFont="1" applyFill="1" applyBorder="1" applyAlignment="1">
      <alignment horizontal="center" vertical="center"/>
    </xf>
    <xf numFmtId="0" fontId="0" fillId="26" borderId="40" xfId="0" applyFill="1" applyBorder="1" applyAlignment="1">
      <alignment horizontal="center" vertical="center"/>
    </xf>
    <xf numFmtId="0" fontId="7" fillId="26" borderId="40" xfId="0" applyFont="1" applyFill="1" applyBorder="1" applyAlignment="1">
      <alignment horizontal="center" vertical="center"/>
    </xf>
    <xf numFmtId="0" fontId="7" fillId="29" borderId="12" xfId="0" applyFont="1" applyFill="1" applyBorder="1" applyAlignment="1">
      <alignment horizontal="left" wrapText="1"/>
    </xf>
    <xf numFmtId="49" fontId="3" fillId="25" borderId="14" xfId="0" applyNumberFormat="1" applyFont="1" applyFill="1" applyBorder="1" applyAlignment="1">
      <alignment horizontal="center" vertical="center" wrapText="1"/>
    </xf>
    <xf numFmtId="49" fontId="7" fillId="25" borderId="16" xfId="0" applyNumberFormat="1" applyFont="1" applyFill="1" applyBorder="1" applyAlignment="1">
      <alignment vertical="center" wrapText="1"/>
    </xf>
    <xf numFmtId="49" fontId="0" fillId="0" borderId="0" xfId="0" applyNumberFormat="1" applyFill="1" applyBorder="1"/>
    <xf numFmtId="0" fontId="4" fillId="24" borderId="22" xfId="0" applyFont="1" applyFill="1" applyBorder="1" applyAlignment="1">
      <alignment horizontal="center" vertical="center"/>
    </xf>
    <xf numFmtId="0" fontId="4" fillId="24" borderId="23" xfId="0" applyFont="1" applyFill="1" applyBorder="1" applyAlignment="1">
      <alignment horizontal="center" vertical="center"/>
    </xf>
    <xf numFmtId="0" fontId="4" fillId="24" borderId="13" xfId="0" applyFont="1" applyFill="1" applyBorder="1" applyAlignment="1">
      <alignment horizontal="center" vertical="center"/>
    </xf>
    <xf numFmtId="0" fontId="4" fillId="24" borderId="9" xfId="0" applyFont="1" applyFill="1" applyBorder="1" applyAlignment="1">
      <alignment horizontal="center" vertical="center"/>
    </xf>
    <xf numFmtId="0" fontId="4" fillId="24" borderId="22" xfId="0" applyFont="1" applyFill="1" applyBorder="1" applyAlignment="1">
      <alignment horizontal="center" vertical="center" wrapText="1"/>
    </xf>
    <xf numFmtId="0" fontId="3" fillId="27" borderId="22" xfId="0" applyFont="1" applyFill="1" applyBorder="1" applyAlignment="1">
      <alignment horizontal="center" vertical="center" wrapText="1"/>
    </xf>
    <xf numFmtId="0" fontId="3" fillId="27" borderId="23" xfId="0" applyFont="1" applyFill="1" applyBorder="1" applyAlignment="1">
      <alignment horizontal="center" vertical="center" wrapText="1"/>
    </xf>
    <xf numFmtId="0" fontId="3" fillId="27" borderId="27" xfId="0" applyFont="1" applyFill="1" applyBorder="1" applyAlignment="1">
      <alignment horizontal="center" vertical="center" wrapText="1"/>
    </xf>
    <xf numFmtId="0" fontId="4" fillId="25" borderId="9" xfId="0" applyFont="1" applyFill="1" applyBorder="1" applyAlignment="1">
      <alignment vertical="center" wrapText="1"/>
    </xf>
    <xf numFmtId="0" fontId="4" fillId="25" borderId="10" xfId="0" applyFont="1" applyFill="1" applyBorder="1" applyAlignment="1">
      <alignment vertical="center" wrapText="1"/>
    </xf>
    <xf numFmtId="0" fontId="4" fillId="25" borderId="11" xfId="0" applyFont="1" applyFill="1" applyBorder="1" applyAlignment="1">
      <alignment vertical="center" wrapText="1"/>
    </xf>
    <xf numFmtId="49" fontId="42" fillId="25" borderId="16" xfId="0" applyNumberFormat="1" applyFont="1" applyFill="1" applyBorder="1" applyAlignment="1">
      <alignment horizontal="center" vertical="center" wrapText="1"/>
    </xf>
    <xf numFmtId="49" fontId="3" fillId="25" borderId="16" xfId="0" applyNumberFormat="1" applyFont="1" applyFill="1" applyBorder="1" applyAlignment="1">
      <alignment horizontal="center" vertical="center" wrapText="1"/>
    </xf>
    <xf numFmtId="0" fontId="7" fillId="25" borderId="9" xfId="0" applyFont="1" applyFill="1" applyBorder="1" applyAlignment="1">
      <alignment vertical="center" wrapText="1"/>
    </xf>
    <xf numFmtId="49" fontId="7" fillId="25" borderId="12" xfId="0" applyNumberFormat="1" applyFont="1" applyFill="1" applyBorder="1" applyAlignment="1">
      <alignment vertical="center" wrapText="1"/>
    </xf>
    <xf numFmtId="0" fontId="3" fillId="25" borderId="9" xfId="0" applyFont="1" applyFill="1" applyBorder="1" applyAlignment="1">
      <alignment vertical="center" wrapText="1"/>
    </xf>
    <xf numFmtId="0" fontId="6" fillId="21" borderId="20" xfId="0" applyFont="1" applyFill="1" applyBorder="1" applyAlignment="1">
      <alignment horizontal="left" wrapText="1"/>
    </xf>
    <xf numFmtId="2" fontId="6" fillId="21" borderId="0" xfId="0" applyNumberFormat="1" applyFont="1" applyFill="1" applyBorder="1" applyAlignment="1">
      <alignment horizontal="left" wrapText="1"/>
    </xf>
    <xf numFmtId="14" fontId="6" fillId="21" borderId="21" xfId="0" applyNumberFormat="1" applyFont="1" applyFill="1" applyBorder="1" applyAlignment="1">
      <alignment horizontal="left" wrapText="1"/>
    </xf>
    <xf numFmtId="0" fontId="4" fillId="21" borderId="22" xfId="0" applyFont="1" applyFill="1" applyBorder="1" applyAlignment="1">
      <alignment horizontal="left"/>
    </xf>
    <xf numFmtId="0" fontId="4" fillId="21" borderId="23" xfId="0" applyFont="1" applyFill="1" applyBorder="1" applyAlignment="1">
      <alignment horizontal="left"/>
    </xf>
    <xf numFmtId="0" fontId="4" fillId="21" borderId="13" xfId="0" applyFont="1" applyFill="1" applyBorder="1" applyAlignment="1">
      <alignment horizontal="left"/>
    </xf>
    <xf numFmtId="0" fontId="4" fillId="27" borderId="22" xfId="0" applyFont="1" applyFill="1" applyBorder="1" applyAlignment="1">
      <alignment horizontal="center" vertical="center" wrapText="1"/>
    </xf>
    <xf numFmtId="0" fontId="4" fillId="27" borderId="23" xfId="0" applyFont="1" applyFill="1" applyBorder="1" applyAlignment="1">
      <alignment horizontal="center" vertical="center" wrapText="1"/>
    </xf>
    <xf numFmtId="0" fontId="4" fillId="27" borderId="27" xfId="0" applyFont="1" applyFill="1" applyBorder="1" applyAlignment="1">
      <alignment horizontal="center" vertical="center" wrapText="1"/>
    </xf>
    <xf numFmtId="0" fontId="4" fillId="27" borderId="12" xfId="0" applyFont="1" applyFill="1" applyBorder="1" applyAlignment="1">
      <alignment horizontal="center" vertical="center" wrapText="1"/>
    </xf>
    <xf numFmtId="0" fontId="4" fillId="27" borderId="17" xfId="0" applyFont="1" applyFill="1" applyBorder="1" applyAlignment="1">
      <alignment horizontal="center" vertical="center" wrapText="1"/>
    </xf>
    <xf numFmtId="0" fontId="4" fillId="24" borderId="22" xfId="0" applyFont="1" applyFill="1" applyBorder="1" applyAlignment="1">
      <alignment horizontal="center" vertical="center"/>
    </xf>
    <xf numFmtId="0" fontId="4" fillId="24" borderId="23" xfId="0" applyFont="1" applyFill="1" applyBorder="1" applyAlignment="1">
      <alignment horizontal="center" vertical="center"/>
    </xf>
    <xf numFmtId="0" fontId="4" fillId="24" borderId="13" xfId="0" applyFont="1" applyFill="1" applyBorder="1" applyAlignment="1">
      <alignment horizontal="center" vertical="center"/>
    </xf>
    <xf numFmtId="0" fontId="0" fillId="24" borderId="9" xfId="0" applyFill="1" applyBorder="1" applyAlignment="1">
      <alignment horizontal="center" vertical="center"/>
    </xf>
    <xf numFmtId="0" fontId="0" fillId="24" borderId="23" xfId="0" applyFill="1" applyBorder="1" applyAlignment="1">
      <alignment horizontal="center" vertical="center"/>
    </xf>
    <xf numFmtId="0" fontId="0" fillId="24" borderId="13" xfId="0" applyFill="1" applyBorder="1" applyAlignment="1">
      <alignment horizontal="center" vertical="center"/>
    </xf>
    <xf numFmtId="49" fontId="5" fillId="24" borderId="22" xfId="0" applyNumberFormat="1" applyFont="1" applyFill="1" applyBorder="1" applyAlignment="1">
      <alignment horizontal="center" vertical="center"/>
    </xf>
    <xf numFmtId="0" fontId="5" fillId="24" borderId="23" xfId="0" applyFont="1" applyFill="1" applyBorder="1" applyAlignment="1">
      <alignment horizontal="center" vertical="center"/>
    </xf>
    <xf numFmtId="0" fontId="5" fillId="24" borderId="13" xfId="0" applyFont="1" applyFill="1" applyBorder="1" applyAlignment="1">
      <alignment horizontal="center" vertical="center"/>
    </xf>
    <xf numFmtId="0" fontId="4" fillId="32" borderId="30" xfId="0" applyFont="1" applyFill="1" applyBorder="1" applyAlignment="1">
      <alignment horizontal="left"/>
    </xf>
    <xf numFmtId="0" fontId="4" fillId="32" borderId="31" xfId="0" applyFont="1" applyFill="1" applyBorder="1" applyAlignment="1">
      <alignment horizontal="left"/>
    </xf>
    <xf numFmtId="0" fontId="7" fillId="30" borderId="12" xfId="0" applyFont="1" applyFill="1" applyBorder="1" applyAlignment="1">
      <alignment horizontal="center" vertical="center" wrapText="1"/>
    </xf>
    <xf numFmtId="0" fontId="7" fillId="30" borderId="14" xfId="0" applyFont="1" applyFill="1" applyBorder="1" applyAlignment="1">
      <alignment horizontal="center" vertical="center" wrapText="1"/>
    </xf>
    <xf numFmtId="0" fontId="7" fillId="29" borderId="12" xfId="0" applyFont="1" applyFill="1" applyBorder="1" applyAlignment="1">
      <alignment horizontal="center" vertical="center"/>
    </xf>
    <xf numFmtId="0" fontId="7" fillId="29" borderId="12"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4" xfId="0" applyFont="1" applyFill="1" applyBorder="1" applyAlignment="1">
      <alignment horizontal="center" vertical="center" wrapText="1"/>
    </xf>
    <xf numFmtId="0" fontId="7" fillId="29" borderId="15" xfId="0" applyFont="1" applyFill="1" applyBorder="1" applyAlignment="1">
      <alignment horizontal="center" vertical="center" wrapText="1"/>
    </xf>
    <xf numFmtId="0" fontId="7" fillId="29" borderId="35" xfId="0" applyFont="1" applyFill="1" applyBorder="1" applyAlignment="1">
      <alignment horizontal="center" vertical="center" wrapText="1"/>
    </xf>
    <xf numFmtId="0" fontId="7" fillId="29" borderId="16" xfId="0" applyFont="1" applyFill="1" applyBorder="1" applyAlignment="1">
      <alignment horizontal="center" vertical="center"/>
    </xf>
    <xf numFmtId="0" fontId="7" fillId="30" borderId="12" xfId="0" applyFont="1" applyFill="1" applyBorder="1" applyAlignment="1">
      <alignment horizontal="center" vertical="center"/>
    </xf>
    <xf numFmtId="0" fontId="7" fillId="30" borderId="15"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29" borderId="14" xfId="0" applyFont="1" applyFill="1" applyBorder="1" applyAlignment="1">
      <alignment horizontal="center" vertical="center"/>
    </xf>
    <xf numFmtId="0" fontId="7" fillId="29" borderId="15" xfId="0" applyFont="1" applyFill="1" applyBorder="1" applyAlignment="1">
      <alignment horizontal="center" vertical="center"/>
    </xf>
    <xf numFmtId="0" fontId="39" fillId="34" borderId="0" xfId="0" applyFont="1" applyFill="1" applyAlignment="1">
      <alignment horizontal="center" vertical="center"/>
    </xf>
  </cellXfs>
  <cellStyles count="42">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2" xfId="30"/>
    <cellStyle name="Input" xfId="31"/>
    <cellStyle name="Linked Cell" xfId="32"/>
    <cellStyle name="Neutral" xfId="33"/>
    <cellStyle name="Normal" xfId="0" builtinId="0"/>
    <cellStyle name="Normal 2" xfId="34"/>
    <cellStyle name="Normal 3" xfId="35"/>
    <cellStyle name="Normal 4" xfId="41"/>
    <cellStyle name="Note" xfId="36"/>
    <cellStyle name="Note 2" xfId="37"/>
    <cellStyle name="Output" xfId="38"/>
    <cellStyle name="Title" xfId="39"/>
    <cellStyle name="Warning Text" xfId="40"/>
  </cellStyles>
  <dxfs count="1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235324</xdr:colOff>
          <xdr:row>1</xdr:row>
          <xdr:rowOff>228600</xdr:rowOff>
        </xdr:from>
        <xdr:to>
          <xdr:col>8</xdr:col>
          <xdr:colOff>1940299</xdr:colOff>
          <xdr:row>2</xdr:row>
          <xdr:rowOff>285750</xdr:rowOff>
        </xdr:to>
        <xdr:sp macro="" textlink="">
          <xdr:nvSpPr>
            <xdr:cNvPr id="64596" name="ComboBox2" hidden="1">
              <a:extLst>
                <a:ext uri="{63B3BB69-23CF-44E3-9099-C40C66FF867C}">
                  <a14:compatExt spid="_x0000_s64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1066800</xdr:colOff>
          <xdr:row>1</xdr:row>
          <xdr:rowOff>266700</xdr:rowOff>
        </xdr:from>
        <xdr:to>
          <xdr:col>5</xdr:col>
          <xdr:colOff>2247900</xdr:colOff>
          <xdr:row>2</xdr:row>
          <xdr:rowOff>295275</xdr:rowOff>
        </xdr:to>
        <xdr:sp macro="" textlink="">
          <xdr:nvSpPr>
            <xdr:cNvPr id="64597" name="ComboBox1" hidden="1">
              <a:extLst>
                <a:ext uri="{63B3BB69-23CF-44E3-9099-C40C66FF867C}">
                  <a14:compatExt spid="_x0000_s64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0</xdr:row>
          <xdr:rowOff>123825</xdr:rowOff>
        </xdr:from>
        <xdr:to>
          <xdr:col>0</xdr:col>
          <xdr:colOff>1952625</xdr:colOff>
          <xdr:row>1</xdr:row>
          <xdr:rowOff>123825</xdr:rowOff>
        </xdr:to>
        <xdr:sp macro="" textlink="">
          <xdr:nvSpPr>
            <xdr:cNvPr id="64678" name="Button 166" hidden="1">
              <a:extLst>
                <a:ext uri="{63B3BB69-23CF-44E3-9099-C40C66FF867C}">
                  <a14:compatExt spid="_x0000_s646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ASSIGN SSVs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xdr:row>
          <xdr:rowOff>104775</xdr:rowOff>
        </xdr:from>
        <xdr:to>
          <xdr:col>0</xdr:col>
          <xdr:colOff>1962150</xdr:colOff>
          <xdr:row>3</xdr:row>
          <xdr:rowOff>152400</xdr:rowOff>
        </xdr:to>
        <xdr:sp macro="" textlink="">
          <xdr:nvSpPr>
            <xdr:cNvPr id="64679" name="Button 167" hidden="1">
              <a:extLst>
                <a:ext uri="{63B3BB69-23CF-44E3-9099-C40C66FF867C}">
                  <a14:compatExt spid="_x0000_s646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FIELD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228600</xdr:colOff>
          <xdr:row>0</xdr:row>
          <xdr:rowOff>76200</xdr:rowOff>
        </xdr:from>
        <xdr:to>
          <xdr:col>14</xdr:col>
          <xdr:colOff>1038225</xdr:colOff>
          <xdr:row>1</xdr:row>
          <xdr:rowOff>85725</xdr:rowOff>
        </xdr:to>
        <xdr:sp macro="" textlink="">
          <xdr:nvSpPr>
            <xdr:cNvPr id="69633" name="Button 1"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ssignSSV"/>
      <definedName name="CONTROL_copy"/>
      <definedName name="search_fiel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AssignSSV"/>
      <definedName name="CONTROL_copy"/>
      <definedName name="search_field"/>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D20" sqref="D20"/>
    </sheetView>
  </sheetViews>
  <sheetFormatPr defaultRowHeight="12.75" x14ac:dyDescent="0.2"/>
  <cols>
    <col min="1" max="1" width="16.5703125" bestFit="1" customWidth="1"/>
    <col min="2" max="2" width="15.5703125" style="9" customWidth="1"/>
    <col min="3" max="3" width="12.5703125" style="38" customWidth="1"/>
    <col min="4" max="4" width="111.140625" customWidth="1"/>
  </cols>
  <sheetData>
    <row r="2" spans="1:4" ht="18" x14ac:dyDescent="0.25">
      <c r="A2" s="1" t="s">
        <v>23</v>
      </c>
      <c r="B2" s="115" t="s">
        <v>15</v>
      </c>
      <c r="C2" s="115"/>
      <c r="D2" s="115"/>
    </row>
    <row r="3" spans="1:4" ht="18" x14ac:dyDescent="0.25">
      <c r="A3" s="2" t="s">
        <v>20</v>
      </c>
      <c r="B3" s="116">
        <f>MAX(C7:C40)</f>
        <v>2</v>
      </c>
      <c r="C3" s="116"/>
      <c r="D3" s="116"/>
    </row>
    <row r="4" spans="1:4" ht="18" x14ac:dyDescent="0.25">
      <c r="A4" s="3" t="s">
        <v>25</v>
      </c>
      <c r="B4" s="117">
        <f>MAX(B7:B14)</f>
        <v>42297</v>
      </c>
      <c r="C4" s="117"/>
      <c r="D4" s="117"/>
    </row>
    <row r="5" spans="1:4" ht="15.75" x14ac:dyDescent="0.25">
      <c r="A5" s="118" t="s">
        <v>21</v>
      </c>
      <c r="B5" s="119"/>
      <c r="C5" s="119"/>
      <c r="D5" s="120"/>
    </row>
    <row r="6" spans="1:4" s="11" customFormat="1" ht="15" x14ac:dyDescent="0.2">
      <c r="A6" s="16" t="s">
        <v>22</v>
      </c>
      <c r="B6" s="17" t="s">
        <v>25</v>
      </c>
      <c r="C6" s="39" t="s">
        <v>20</v>
      </c>
      <c r="D6" s="17" t="s">
        <v>24</v>
      </c>
    </row>
    <row r="7" spans="1:4" s="11" customFormat="1" x14ac:dyDescent="0.2">
      <c r="A7" s="12" t="s">
        <v>196</v>
      </c>
      <c r="B7" s="13">
        <v>42296</v>
      </c>
      <c r="C7" s="40">
        <v>1</v>
      </c>
      <c r="D7" s="15" t="s">
        <v>195</v>
      </c>
    </row>
    <row r="8" spans="1:4" x14ac:dyDescent="0.2">
      <c r="A8" s="12" t="s">
        <v>196</v>
      </c>
      <c r="B8" s="13">
        <v>42297</v>
      </c>
      <c r="C8" s="14">
        <v>2</v>
      </c>
      <c r="D8" s="15" t="s">
        <v>197</v>
      </c>
    </row>
    <row r="9" spans="1:4" x14ac:dyDescent="0.2">
      <c r="A9" s="15"/>
      <c r="B9" s="13"/>
      <c r="C9" s="14"/>
      <c r="D9" s="15"/>
    </row>
    <row r="10" spans="1:4" x14ac:dyDescent="0.2">
      <c r="A10" s="15"/>
      <c r="B10" s="13"/>
      <c r="C10" s="14"/>
      <c r="D10" s="15"/>
    </row>
    <row r="11" spans="1:4" x14ac:dyDescent="0.2">
      <c r="A11" s="15"/>
      <c r="B11" s="13"/>
      <c r="C11" s="14"/>
      <c r="D11" s="15"/>
    </row>
    <row r="12" spans="1:4" x14ac:dyDescent="0.2">
      <c r="A12" s="15"/>
      <c r="B12" s="13"/>
      <c r="C12" s="14"/>
      <c r="D12" s="15"/>
    </row>
    <row r="13" spans="1:4" x14ac:dyDescent="0.2">
      <c r="A13" s="82"/>
      <c r="B13" s="83"/>
      <c r="C13" s="84"/>
      <c r="D13" s="82"/>
    </row>
    <row r="15" spans="1:4" x14ac:dyDescent="0.2">
      <c r="A15" s="6" t="s">
        <v>16</v>
      </c>
    </row>
    <row r="16" spans="1:4" x14ac:dyDescent="0.2">
      <c r="A16" s="4"/>
      <c r="B16" s="9" t="s">
        <v>17</v>
      </c>
    </row>
    <row r="17" spans="1:2" x14ac:dyDescent="0.2">
      <c r="A17" s="5"/>
      <c r="B17" s="9" t="s">
        <v>18</v>
      </c>
    </row>
    <row r="18" spans="1:2" ht="25.5" x14ac:dyDescent="0.2">
      <c r="A18" s="7"/>
      <c r="B18" s="9" t="s">
        <v>19</v>
      </c>
    </row>
  </sheetData>
  <mergeCells count="4">
    <mergeCell ref="B2:D2"/>
    <mergeCell ref="B3:D3"/>
    <mergeCell ref="B4:D4"/>
    <mergeCell ref="A5:D5"/>
  </mergeCells>
  <phoneticPr fontId="5"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92D050"/>
  </sheetPr>
  <dimension ref="A1:U958"/>
  <sheetViews>
    <sheetView zoomScale="85" zoomScaleNormal="85" workbookViewId="0">
      <pane ySplit="5" topLeftCell="A6" activePane="bottomLeft" state="frozen"/>
      <selection activeCell="Q43" sqref="Q43"/>
      <selection pane="bottomLeft" activeCell="A6" sqref="A6"/>
    </sheetView>
  </sheetViews>
  <sheetFormatPr defaultColWidth="76.7109375" defaultRowHeight="12.75" x14ac:dyDescent="0.2"/>
  <cols>
    <col min="1" max="1" width="32.28515625" style="19" customWidth="1"/>
    <col min="2" max="3" width="22.28515625" style="98" customWidth="1"/>
    <col min="4" max="4" width="31.42578125" style="8" customWidth="1"/>
    <col min="5" max="5" width="44.85546875" style="8" customWidth="1"/>
    <col min="6" max="6" width="43.7109375" style="8" customWidth="1"/>
    <col min="7" max="7" width="21.85546875" style="19" customWidth="1"/>
    <col min="8" max="8" width="18.7109375" style="8" customWidth="1"/>
    <col min="9" max="9" width="38.28515625" style="8" customWidth="1"/>
    <col min="10" max="10" width="68.7109375" style="8" customWidth="1"/>
    <col min="11" max="11" width="21.42578125" style="8" customWidth="1"/>
    <col min="12" max="12" width="24.85546875" style="19" customWidth="1"/>
    <col min="13" max="13" width="25.7109375" style="19" customWidth="1"/>
    <col min="14" max="15" width="17.140625" style="19" customWidth="1"/>
    <col min="16" max="18" width="19" style="19" customWidth="1"/>
    <col min="19" max="16384" width="76.7109375" style="19"/>
  </cols>
  <sheetData>
    <row r="1" spans="1:18" customFormat="1" ht="28.5" customHeight="1" x14ac:dyDescent="0.2">
      <c r="A1" s="107"/>
      <c r="B1" s="110" t="s">
        <v>201</v>
      </c>
      <c r="C1" s="97" t="s">
        <v>220</v>
      </c>
      <c r="D1" s="124" t="s">
        <v>96</v>
      </c>
      <c r="E1" s="124"/>
      <c r="F1" s="124"/>
      <c r="G1" s="124"/>
      <c r="H1" s="124"/>
      <c r="I1" s="124"/>
      <c r="J1" s="124"/>
      <c r="K1" s="124"/>
      <c r="L1" s="124"/>
      <c r="M1" s="125"/>
      <c r="N1" s="33"/>
      <c r="O1" s="33"/>
      <c r="P1" s="33"/>
      <c r="Q1" s="33"/>
      <c r="R1" s="33"/>
    </row>
    <row r="2" spans="1:18" customFormat="1" ht="24.75" customHeight="1" x14ac:dyDescent="0.2">
      <c r="A2" s="108"/>
      <c r="B2" s="110" t="s">
        <v>203</v>
      </c>
      <c r="C2" s="97" t="s">
        <v>272</v>
      </c>
      <c r="D2" s="126" t="s">
        <v>93</v>
      </c>
      <c r="E2" s="127"/>
      <c r="F2" s="128"/>
      <c r="G2" s="126" t="s">
        <v>92</v>
      </c>
      <c r="H2" s="127"/>
      <c r="I2" s="128"/>
      <c r="J2" s="30" t="s">
        <v>104</v>
      </c>
      <c r="K2" s="21"/>
      <c r="L2" s="21"/>
      <c r="M2" s="27"/>
      <c r="N2" s="34"/>
      <c r="O2" s="34"/>
      <c r="P2" s="34"/>
      <c r="Q2" s="34"/>
      <c r="R2" s="34"/>
    </row>
    <row r="3" spans="1:18" customFormat="1" ht="24.75" customHeight="1" x14ac:dyDescent="0.2">
      <c r="A3" s="108"/>
      <c r="B3" s="110" t="s">
        <v>204</v>
      </c>
      <c r="C3" s="97" t="s">
        <v>198</v>
      </c>
      <c r="D3" s="102"/>
      <c r="E3" s="100"/>
      <c r="F3" s="101"/>
      <c r="G3" s="99"/>
      <c r="H3" s="100"/>
      <c r="I3" s="101"/>
      <c r="J3" s="103"/>
      <c r="K3" s="104"/>
      <c r="L3" s="105"/>
      <c r="M3" s="106"/>
      <c r="N3" s="34"/>
      <c r="O3" s="34"/>
      <c r="P3" s="34"/>
      <c r="Q3" s="34"/>
      <c r="R3" s="34"/>
    </row>
    <row r="4" spans="1:18" customFormat="1" ht="28.5" customHeight="1" x14ac:dyDescent="0.2">
      <c r="A4" s="109"/>
      <c r="B4" s="110" t="s">
        <v>205</v>
      </c>
      <c r="C4" s="111" t="s">
        <v>5033</v>
      </c>
      <c r="D4" s="129" t="e">
        <f>VLOOKUP(#REF!,#REF!,2,FALSE)</f>
        <v>#REF!</v>
      </c>
      <c r="E4" s="130"/>
      <c r="F4" s="131"/>
      <c r="G4" s="132" t="e">
        <f>#REF!&amp;VLOOKUP(#REF!,#REF!,2,FALSE)</f>
        <v>#REF!</v>
      </c>
      <c r="H4" s="133"/>
      <c r="I4" s="134"/>
      <c r="J4" s="31" t="e">
        <f>VLOOKUP(#REF!,#REF!,2,FALSE)</f>
        <v>#REF!</v>
      </c>
      <c r="K4" s="121" t="s">
        <v>105</v>
      </c>
      <c r="L4" s="122"/>
      <c r="M4" s="123"/>
      <c r="N4" s="33"/>
      <c r="O4" s="33"/>
      <c r="P4" s="33"/>
      <c r="Q4" s="33"/>
      <c r="R4" s="33"/>
    </row>
    <row r="5" spans="1:18" customFormat="1" ht="26.25" thickBot="1" x14ac:dyDescent="0.25">
      <c r="A5" s="35" t="s">
        <v>101</v>
      </c>
      <c r="B5" s="96" t="s">
        <v>194</v>
      </c>
      <c r="C5" s="96" t="s">
        <v>199</v>
      </c>
      <c r="D5" s="37" t="s">
        <v>97</v>
      </c>
      <c r="E5" s="37" t="s">
        <v>94</v>
      </c>
      <c r="F5" s="28" t="s">
        <v>95</v>
      </c>
      <c r="G5" s="28" t="s">
        <v>27</v>
      </c>
      <c r="H5" s="28" t="s">
        <v>12</v>
      </c>
      <c r="I5" s="28" t="s">
        <v>13</v>
      </c>
      <c r="J5" s="28" t="s">
        <v>103</v>
      </c>
      <c r="K5" s="29" t="s">
        <v>49</v>
      </c>
      <c r="L5" s="29" t="s">
        <v>50</v>
      </c>
      <c r="M5" s="64" t="s">
        <v>51</v>
      </c>
      <c r="N5" s="32" t="s">
        <v>102</v>
      </c>
      <c r="O5" s="32" t="s">
        <v>171</v>
      </c>
      <c r="P5" s="32" t="s">
        <v>172</v>
      </c>
      <c r="Q5" s="32" t="s">
        <v>110</v>
      </c>
      <c r="R5" s="32" t="s">
        <v>99</v>
      </c>
    </row>
    <row r="6" spans="1:18" customFormat="1" ht="38.25" x14ac:dyDescent="0.2">
      <c r="A6" s="112" t="s">
        <v>791</v>
      </c>
      <c r="B6" s="113" t="s">
        <v>192</v>
      </c>
      <c r="C6" s="23" t="s">
        <v>198</v>
      </c>
      <c r="D6" s="25" t="s">
        <v>291</v>
      </c>
      <c r="E6" s="24" t="s">
        <v>300</v>
      </c>
      <c r="F6" s="24" t="s">
        <v>301</v>
      </c>
      <c r="G6" s="24" t="s">
        <v>302</v>
      </c>
      <c r="H6" s="24" t="s">
        <v>303</v>
      </c>
      <c r="I6" s="24" t="s">
        <v>304</v>
      </c>
      <c r="J6" s="24" t="s">
        <v>305</v>
      </c>
      <c r="K6" s="26" t="s">
        <v>306</v>
      </c>
      <c r="L6" s="26" t="s">
        <v>307</v>
      </c>
      <c r="M6" s="26" t="s">
        <v>308</v>
      </c>
      <c r="N6" s="79" t="s">
        <v>309</v>
      </c>
      <c r="O6" s="22" t="s">
        <v>310</v>
      </c>
      <c r="P6" s="22" t="s">
        <v>311</v>
      </c>
      <c r="Q6" s="91" t="s">
        <v>312</v>
      </c>
      <c r="R6" s="88" t="s">
        <v>313</v>
      </c>
    </row>
    <row r="7" spans="1:18" customFormat="1" ht="38.25" x14ac:dyDescent="0.2">
      <c r="A7" s="112" t="s">
        <v>5033</v>
      </c>
      <c r="B7" s="113">
        <v>302</v>
      </c>
      <c r="C7" s="23" t="s">
        <v>231</v>
      </c>
      <c r="D7" s="24" t="s">
        <v>292</v>
      </c>
      <c r="E7" s="24" t="s">
        <v>314</v>
      </c>
      <c r="F7" s="24" t="s">
        <v>315</v>
      </c>
      <c r="G7" s="24" t="s">
        <v>316</v>
      </c>
      <c r="H7" s="24" t="s">
        <v>317</v>
      </c>
      <c r="I7" s="24" t="s">
        <v>318</v>
      </c>
      <c r="J7" s="24" t="s">
        <v>319</v>
      </c>
      <c r="K7" s="26" t="s">
        <v>320</v>
      </c>
      <c r="L7" s="26" t="s">
        <v>321</v>
      </c>
      <c r="M7" s="26" t="s">
        <v>322</v>
      </c>
      <c r="N7" s="79" t="s">
        <v>323</v>
      </c>
      <c r="O7" s="22" t="s">
        <v>324</v>
      </c>
      <c r="P7" s="22" t="s">
        <v>325</v>
      </c>
      <c r="Q7" s="91" t="s">
        <v>326</v>
      </c>
      <c r="R7" s="88" t="s">
        <v>327</v>
      </c>
    </row>
    <row r="8" spans="1:18" customFormat="1" ht="25.5" x14ac:dyDescent="0.2">
      <c r="A8" s="112" t="s">
        <v>2530</v>
      </c>
      <c r="B8" s="113" t="s">
        <v>276</v>
      </c>
      <c r="C8" s="23" t="s">
        <v>221</v>
      </c>
      <c r="D8" s="24" t="s">
        <v>293</v>
      </c>
      <c r="E8" s="24" t="s">
        <v>328</v>
      </c>
      <c r="F8" s="24" t="s">
        <v>329</v>
      </c>
      <c r="G8" s="24" t="s">
        <v>330</v>
      </c>
      <c r="H8" s="24" t="s">
        <v>331</v>
      </c>
      <c r="I8" s="24" t="s">
        <v>332</v>
      </c>
      <c r="J8" s="24" t="s">
        <v>333</v>
      </c>
      <c r="K8" s="26" t="s">
        <v>334</v>
      </c>
      <c r="L8" s="26" t="s">
        <v>335</v>
      </c>
      <c r="M8" s="26" t="s">
        <v>336</v>
      </c>
      <c r="N8" s="79" t="s">
        <v>337</v>
      </c>
      <c r="O8" s="22" t="s">
        <v>338</v>
      </c>
      <c r="P8" s="22" t="s">
        <v>339</v>
      </c>
      <c r="Q8" s="91" t="s">
        <v>340</v>
      </c>
      <c r="R8" s="88" t="s">
        <v>341</v>
      </c>
    </row>
    <row r="9" spans="1:18" customFormat="1" ht="25.5" x14ac:dyDescent="0.2">
      <c r="A9" s="112" t="s">
        <v>5044</v>
      </c>
      <c r="B9" s="113">
        <v>300</v>
      </c>
      <c r="C9" s="23" t="s">
        <v>221</v>
      </c>
      <c r="D9" s="24" t="s">
        <v>294</v>
      </c>
      <c r="E9" s="24" t="s">
        <v>342</v>
      </c>
      <c r="F9" s="24" t="s">
        <v>343</v>
      </c>
      <c r="G9" s="24" t="s">
        <v>344</v>
      </c>
      <c r="H9" s="24" t="s">
        <v>345</v>
      </c>
      <c r="I9" s="24" t="s">
        <v>346</v>
      </c>
      <c r="J9" s="24" t="s">
        <v>347</v>
      </c>
      <c r="K9" s="26" t="s">
        <v>348</v>
      </c>
      <c r="L9" s="26" t="s">
        <v>349</v>
      </c>
      <c r="M9" s="26" t="s">
        <v>350</v>
      </c>
      <c r="N9" s="79" t="s">
        <v>351</v>
      </c>
      <c r="O9" s="22" t="s">
        <v>352</v>
      </c>
      <c r="P9" s="22" t="s">
        <v>353</v>
      </c>
      <c r="Q9" s="91" t="s">
        <v>354</v>
      </c>
      <c r="R9" s="88" t="s">
        <v>355</v>
      </c>
    </row>
    <row r="10" spans="1:18" customFormat="1" ht="25.5" x14ac:dyDescent="0.2">
      <c r="A10" s="112" t="s">
        <v>799</v>
      </c>
      <c r="B10" s="113">
        <v>302</v>
      </c>
      <c r="C10" s="23" t="s">
        <v>221</v>
      </c>
      <c r="D10" s="24" t="s">
        <v>295</v>
      </c>
      <c r="E10" s="24" t="s">
        <v>356</v>
      </c>
      <c r="F10" s="24" t="s">
        <v>357</v>
      </c>
      <c r="G10" s="24" t="s">
        <v>358</v>
      </c>
      <c r="H10" s="24" t="s">
        <v>359</v>
      </c>
      <c r="I10" s="24" t="s">
        <v>360</v>
      </c>
      <c r="J10" s="24" t="s">
        <v>361</v>
      </c>
      <c r="K10" s="26" t="s">
        <v>362</v>
      </c>
      <c r="L10" s="26" t="s">
        <v>363</v>
      </c>
      <c r="M10" s="26" t="s">
        <v>364</v>
      </c>
      <c r="N10" s="79" t="s">
        <v>365</v>
      </c>
      <c r="O10" s="22" t="s">
        <v>366</v>
      </c>
      <c r="P10" s="22" t="s">
        <v>367</v>
      </c>
      <c r="Q10" s="91" t="s">
        <v>368</v>
      </c>
      <c r="R10" s="88" t="s">
        <v>369</v>
      </c>
    </row>
    <row r="11" spans="1:18" customFormat="1" ht="25.5" x14ac:dyDescent="0.2">
      <c r="A11" s="112" t="s">
        <v>791</v>
      </c>
      <c r="B11" s="113">
        <v>301</v>
      </c>
      <c r="C11" s="23" t="s">
        <v>221</v>
      </c>
      <c r="D11" s="24" t="s">
        <v>296</v>
      </c>
      <c r="E11" s="24" t="s">
        <v>370</v>
      </c>
      <c r="F11" s="24" t="s">
        <v>371</v>
      </c>
      <c r="G11" s="24" t="s">
        <v>372</v>
      </c>
      <c r="H11" s="24" t="s">
        <v>373</v>
      </c>
      <c r="I11" s="24" t="s">
        <v>374</v>
      </c>
      <c r="J11" s="24" t="s">
        <v>375</v>
      </c>
      <c r="K11" s="26" t="s">
        <v>376</v>
      </c>
      <c r="L11" s="26" t="s">
        <v>377</v>
      </c>
      <c r="M11" s="26" t="s">
        <v>378</v>
      </c>
      <c r="N11" s="79" t="s">
        <v>379</v>
      </c>
      <c r="O11" s="22" t="s">
        <v>380</v>
      </c>
      <c r="P11" s="22" t="s">
        <v>381</v>
      </c>
      <c r="Q11" s="91" t="s">
        <v>382</v>
      </c>
      <c r="R11" s="88" t="s">
        <v>383</v>
      </c>
    </row>
    <row r="12" spans="1:18" customFormat="1" ht="38.25" x14ac:dyDescent="0.2">
      <c r="A12" s="112" t="s">
        <v>5033</v>
      </c>
      <c r="B12" s="113" t="s">
        <v>273</v>
      </c>
      <c r="C12" s="23" t="s">
        <v>198</v>
      </c>
      <c r="D12" s="24" t="s">
        <v>297</v>
      </c>
      <c r="E12" s="24" t="s">
        <v>384</v>
      </c>
      <c r="F12" s="24" t="s">
        <v>385</v>
      </c>
      <c r="G12" s="24" t="s">
        <v>386</v>
      </c>
      <c r="H12" s="24" t="s">
        <v>387</v>
      </c>
      <c r="I12" s="24" t="s">
        <v>388</v>
      </c>
      <c r="J12" s="24" t="s">
        <v>389</v>
      </c>
      <c r="K12" s="26" t="s">
        <v>390</v>
      </c>
      <c r="L12" s="26" t="s">
        <v>391</v>
      </c>
      <c r="M12" s="26" t="s">
        <v>392</v>
      </c>
      <c r="N12" s="79" t="s">
        <v>393</v>
      </c>
      <c r="O12" s="22" t="s">
        <v>394</v>
      </c>
      <c r="P12" s="22" t="s">
        <v>395</v>
      </c>
      <c r="Q12" s="91" t="s">
        <v>396</v>
      </c>
      <c r="R12" s="88" t="s">
        <v>397</v>
      </c>
    </row>
    <row r="13" spans="1:18" customFormat="1" ht="38.25" x14ac:dyDescent="0.2">
      <c r="A13" s="114" t="s">
        <v>5108</v>
      </c>
      <c r="B13" s="113" t="s">
        <v>192</v>
      </c>
      <c r="C13" s="113" t="s">
        <v>198</v>
      </c>
      <c r="D13" s="24" t="s">
        <v>298</v>
      </c>
      <c r="E13" s="24" t="s">
        <v>398</v>
      </c>
      <c r="F13" s="24" t="s">
        <v>399</v>
      </c>
      <c r="G13" s="24" t="s">
        <v>400</v>
      </c>
      <c r="H13" s="24" t="s">
        <v>401</v>
      </c>
      <c r="I13" s="24" t="s">
        <v>402</v>
      </c>
      <c r="J13" s="24" t="s">
        <v>403</v>
      </c>
      <c r="K13" s="26" t="s">
        <v>404</v>
      </c>
      <c r="L13" s="26" t="s">
        <v>405</v>
      </c>
      <c r="M13" s="26" t="s">
        <v>406</v>
      </c>
      <c r="N13" s="79" t="s">
        <v>407</v>
      </c>
      <c r="O13" s="22" t="s">
        <v>408</v>
      </c>
      <c r="P13" s="22" t="s">
        <v>409</v>
      </c>
      <c r="Q13" s="91" t="s">
        <v>410</v>
      </c>
      <c r="R13" s="88" t="s">
        <v>411</v>
      </c>
    </row>
    <row r="14" spans="1:18" customFormat="1" ht="25.5" x14ac:dyDescent="0.2">
      <c r="A14" s="23" t="s">
        <v>2795</v>
      </c>
      <c r="B14" s="97" t="s">
        <v>270</v>
      </c>
      <c r="C14" s="97" t="s">
        <v>221</v>
      </c>
      <c r="D14" s="24" t="s">
        <v>299</v>
      </c>
      <c r="E14" s="24" t="s">
        <v>412</v>
      </c>
      <c r="F14" s="24" t="s">
        <v>413</v>
      </c>
      <c r="G14" s="24" t="s">
        <v>414</v>
      </c>
      <c r="H14" s="24" t="s">
        <v>415</v>
      </c>
      <c r="I14" s="24" t="s">
        <v>416</v>
      </c>
      <c r="J14" s="24" t="s">
        <v>417</v>
      </c>
      <c r="K14" s="26" t="s">
        <v>418</v>
      </c>
      <c r="L14" s="26" t="s">
        <v>419</v>
      </c>
      <c r="M14" s="26" t="s">
        <v>420</v>
      </c>
      <c r="N14" s="79" t="s">
        <v>421</v>
      </c>
      <c r="O14" s="22" t="s">
        <v>422</v>
      </c>
      <c r="P14" s="22" t="s">
        <v>423</v>
      </c>
      <c r="Q14" s="91" t="s">
        <v>424</v>
      </c>
      <c r="R14" s="88" t="s">
        <v>425</v>
      </c>
    </row>
    <row r="15" spans="1:18" customFormat="1" x14ac:dyDescent="0.2">
      <c r="A15" s="23"/>
      <c r="B15" s="97"/>
      <c r="C15" s="97"/>
      <c r="D15" s="24"/>
      <c r="E15" s="24"/>
      <c r="F15" s="24"/>
      <c r="G15" s="24"/>
      <c r="H15" s="24"/>
      <c r="I15" s="24"/>
      <c r="J15" s="24"/>
      <c r="K15" s="26"/>
      <c r="L15" s="26"/>
      <c r="M15" s="26"/>
      <c r="N15" s="79"/>
      <c r="O15" s="22"/>
      <c r="P15" s="22"/>
      <c r="Q15" s="91"/>
      <c r="R15" s="88"/>
    </row>
    <row r="16" spans="1:18" customFormat="1" x14ac:dyDescent="0.2">
      <c r="A16" s="23"/>
      <c r="B16" s="97"/>
      <c r="C16" s="97"/>
      <c r="D16" s="24"/>
      <c r="E16" s="24"/>
      <c r="F16" s="24"/>
      <c r="G16" s="24"/>
      <c r="H16" s="24"/>
      <c r="I16" s="24"/>
      <c r="J16" s="24"/>
      <c r="K16" s="26"/>
      <c r="L16" s="26"/>
      <c r="M16" s="26"/>
      <c r="N16" s="79"/>
      <c r="O16" s="22"/>
      <c r="P16" s="22"/>
      <c r="Q16" s="91"/>
      <c r="R16" s="88"/>
    </row>
    <row r="17" spans="1:18" customFormat="1" x14ac:dyDescent="0.2">
      <c r="A17" s="23"/>
      <c r="B17" s="97"/>
      <c r="C17" s="97"/>
      <c r="D17" s="24"/>
      <c r="E17" s="24"/>
      <c r="F17" s="24"/>
      <c r="G17" s="24"/>
      <c r="H17" s="24"/>
      <c r="I17" s="24"/>
      <c r="J17" s="24"/>
      <c r="K17" s="26"/>
      <c r="L17" s="26"/>
      <c r="M17" s="26"/>
      <c r="N17" s="79"/>
      <c r="O17" s="22"/>
      <c r="P17" s="22"/>
      <c r="Q17" s="91"/>
      <c r="R17" s="88"/>
    </row>
    <row r="18" spans="1:18" customFormat="1" x14ac:dyDescent="0.2">
      <c r="A18" s="23"/>
      <c r="B18" s="97"/>
      <c r="C18" s="97"/>
      <c r="D18" s="24"/>
      <c r="E18" s="24"/>
      <c r="F18" s="24"/>
      <c r="G18" s="24"/>
      <c r="H18" s="24"/>
      <c r="I18" s="24"/>
      <c r="J18" s="24"/>
      <c r="K18" s="26"/>
      <c r="L18" s="26"/>
      <c r="M18" s="26"/>
      <c r="N18" s="79"/>
      <c r="O18" s="22"/>
      <c r="P18" s="22"/>
      <c r="Q18" s="91"/>
      <c r="R18" s="88"/>
    </row>
    <row r="19" spans="1:18" customFormat="1" x14ac:dyDescent="0.2">
      <c r="A19" s="23"/>
      <c r="B19" s="97"/>
      <c r="C19" s="97"/>
      <c r="D19" s="24"/>
      <c r="E19" s="24"/>
      <c r="F19" s="24"/>
      <c r="G19" s="24"/>
      <c r="H19" s="24"/>
      <c r="I19" s="24"/>
      <c r="J19" s="24"/>
      <c r="K19" s="26"/>
      <c r="L19" s="26"/>
      <c r="M19" s="26"/>
      <c r="N19" s="79"/>
      <c r="O19" s="22"/>
      <c r="P19" s="22"/>
      <c r="Q19" s="91"/>
      <c r="R19" s="88"/>
    </row>
    <row r="20" spans="1:18" s="18" customFormat="1" x14ac:dyDescent="0.2">
      <c r="A20" s="23"/>
      <c r="B20" s="97"/>
      <c r="C20" s="97"/>
      <c r="D20" s="24"/>
      <c r="E20" s="24"/>
      <c r="F20" s="24"/>
      <c r="G20" s="24"/>
      <c r="H20" s="24"/>
      <c r="I20" s="24"/>
      <c r="J20" s="24"/>
      <c r="K20" s="26"/>
      <c r="L20" s="26"/>
      <c r="M20" s="26"/>
      <c r="N20" s="79"/>
      <c r="O20" s="22"/>
      <c r="P20" s="22"/>
      <c r="Q20" s="91"/>
      <c r="R20" s="88"/>
    </row>
    <row r="21" spans="1:18" s="18" customFormat="1" x14ac:dyDescent="0.2">
      <c r="A21" s="23"/>
      <c r="B21" s="97"/>
      <c r="C21" s="97"/>
      <c r="D21" s="24"/>
      <c r="E21" s="24"/>
      <c r="F21" s="24"/>
      <c r="G21" s="24"/>
      <c r="H21" s="24"/>
      <c r="I21" s="24"/>
      <c r="J21" s="24"/>
      <c r="K21" s="26"/>
      <c r="L21" s="26"/>
      <c r="M21" s="26"/>
      <c r="N21" s="79"/>
      <c r="O21" s="22"/>
      <c r="P21" s="22"/>
      <c r="Q21" s="91"/>
      <c r="R21" s="88"/>
    </row>
    <row r="22" spans="1:18" s="18" customFormat="1" x14ac:dyDescent="0.2">
      <c r="A22" s="23"/>
      <c r="B22" s="97"/>
      <c r="C22" s="97"/>
      <c r="D22" s="24"/>
      <c r="E22" s="24"/>
      <c r="F22" s="24"/>
      <c r="G22" s="24"/>
      <c r="H22" s="24"/>
      <c r="I22" s="24"/>
      <c r="J22" s="24"/>
      <c r="K22" s="26"/>
      <c r="L22" s="26"/>
      <c r="M22" s="26"/>
      <c r="N22" s="79"/>
      <c r="O22" s="22"/>
      <c r="P22" s="22"/>
      <c r="Q22" s="91"/>
      <c r="R22" s="88"/>
    </row>
    <row r="23" spans="1:18" s="18" customFormat="1" x14ac:dyDescent="0.2">
      <c r="A23" s="23"/>
      <c r="B23" s="97"/>
      <c r="C23" s="97"/>
      <c r="D23" s="24"/>
      <c r="E23" s="24"/>
      <c r="F23" s="24"/>
      <c r="G23" s="24"/>
      <c r="H23" s="24"/>
      <c r="I23" s="24"/>
      <c r="J23" s="24"/>
      <c r="K23" s="26"/>
      <c r="L23" s="26"/>
      <c r="M23" s="26"/>
      <c r="N23" s="79"/>
      <c r="O23" s="22"/>
      <c r="P23" s="22"/>
      <c r="Q23" s="91"/>
      <c r="R23" s="88"/>
    </row>
    <row r="24" spans="1:18" s="18" customFormat="1" x14ac:dyDescent="0.2">
      <c r="A24" s="23"/>
      <c r="B24" s="97"/>
      <c r="C24" s="97"/>
      <c r="D24" s="24"/>
      <c r="E24" s="24"/>
      <c r="F24" s="24"/>
      <c r="G24" s="24"/>
      <c r="H24" s="24"/>
      <c r="I24" s="24"/>
      <c r="J24" s="24"/>
      <c r="K24" s="26"/>
      <c r="L24" s="26"/>
      <c r="M24" s="26"/>
      <c r="N24" s="79"/>
      <c r="O24" s="22"/>
      <c r="P24" s="22"/>
      <c r="Q24" s="91"/>
      <c r="R24" s="88"/>
    </row>
    <row r="25" spans="1:18" s="18" customFormat="1" x14ac:dyDescent="0.2">
      <c r="A25" s="23"/>
      <c r="B25" s="97"/>
      <c r="C25" s="97"/>
      <c r="D25" s="24"/>
      <c r="E25" s="24"/>
      <c r="F25" s="24"/>
      <c r="G25" s="24"/>
      <c r="H25" s="24"/>
      <c r="I25" s="24"/>
      <c r="J25" s="24"/>
      <c r="K25" s="26"/>
      <c r="L25" s="26"/>
      <c r="M25" s="26"/>
      <c r="N25" s="79"/>
      <c r="O25" s="22"/>
      <c r="P25" s="22"/>
      <c r="Q25" s="91"/>
      <c r="R25" s="88"/>
    </row>
    <row r="26" spans="1:18" s="18" customFormat="1" x14ac:dyDescent="0.2">
      <c r="A26" s="23"/>
      <c r="B26" s="97"/>
      <c r="C26" s="97"/>
      <c r="D26" s="24"/>
      <c r="E26" s="24"/>
      <c r="F26" s="24"/>
      <c r="G26" s="24"/>
      <c r="H26" s="24"/>
      <c r="I26" s="24"/>
      <c r="J26" s="24"/>
      <c r="K26" s="26"/>
      <c r="L26" s="26"/>
      <c r="M26" s="26"/>
      <c r="N26" s="79"/>
      <c r="O26" s="22"/>
      <c r="P26" s="22"/>
      <c r="Q26" s="91"/>
      <c r="R26" s="88"/>
    </row>
    <row r="27" spans="1:18" s="18" customFormat="1" x14ac:dyDescent="0.2">
      <c r="A27" s="23"/>
      <c r="B27" s="97"/>
      <c r="C27" s="97"/>
      <c r="D27" s="24"/>
      <c r="E27" s="24"/>
      <c r="F27" s="24"/>
      <c r="G27" s="24"/>
      <c r="H27" s="24"/>
      <c r="I27" s="24"/>
      <c r="J27" s="24"/>
      <c r="K27" s="26"/>
      <c r="L27" s="26"/>
      <c r="M27" s="26"/>
      <c r="N27" s="79"/>
      <c r="O27" s="22"/>
      <c r="P27" s="22"/>
      <c r="Q27" s="91"/>
      <c r="R27" s="88"/>
    </row>
    <row r="28" spans="1:18" s="18" customFormat="1" x14ac:dyDescent="0.2">
      <c r="A28" s="23"/>
      <c r="B28" s="97"/>
      <c r="C28" s="97"/>
      <c r="D28" s="24"/>
      <c r="E28" s="24"/>
      <c r="F28" s="24"/>
      <c r="G28" s="24"/>
      <c r="H28" s="24"/>
      <c r="I28" s="24"/>
      <c r="J28" s="24"/>
      <c r="K28" s="26"/>
      <c r="L28" s="26"/>
      <c r="M28" s="26"/>
      <c r="N28" s="79"/>
      <c r="O28" s="22"/>
      <c r="P28" s="22"/>
      <c r="Q28" s="91"/>
      <c r="R28" s="88"/>
    </row>
    <row r="29" spans="1:18" s="18" customFormat="1" x14ac:dyDescent="0.2">
      <c r="A29" s="23"/>
      <c r="B29" s="97"/>
      <c r="C29" s="97"/>
      <c r="D29" s="24"/>
      <c r="E29" s="24"/>
      <c r="F29" s="24"/>
      <c r="G29" s="24"/>
      <c r="H29" s="24"/>
      <c r="I29" s="24"/>
      <c r="J29" s="24"/>
      <c r="K29" s="26"/>
      <c r="L29" s="26"/>
      <c r="M29" s="26"/>
      <c r="N29" s="79"/>
      <c r="O29" s="22"/>
      <c r="P29" s="22"/>
      <c r="Q29" s="91"/>
      <c r="R29" s="88"/>
    </row>
    <row r="30" spans="1:18" s="18" customFormat="1" x14ac:dyDescent="0.2">
      <c r="A30" s="23"/>
      <c r="B30" s="97"/>
      <c r="C30" s="97"/>
      <c r="D30" s="24"/>
      <c r="E30" s="24"/>
      <c r="F30" s="24"/>
      <c r="G30" s="24"/>
      <c r="H30" s="24"/>
      <c r="I30" s="24"/>
      <c r="J30" s="24"/>
      <c r="K30" s="26"/>
      <c r="L30" s="26"/>
      <c r="M30" s="26"/>
      <c r="N30" s="79"/>
      <c r="O30" s="22"/>
      <c r="P30" s="22"/>
      <c r="Q30" s="91"/>
      <c r="R30" s="88"/>
    </row>
    <row r="31" spans="1:18" s="18" customFormat="1" x14ac:dyDescent="0.2">
      <c r="A31" s="23"/>
      <c r="B31" s="97"/>
      <c r="C31" s="97"/>
      <c r="D31" s="24"/>
      <c r="E31" s="24"/>
      <c r="F31" s="24"/>
      <c r="G31" s="24"/>
      <c r="H31" s="24"/>
      <c r="I31" s="24"/>
      <c r="J31" s="24"/>
      <c r="K31" s="26"/>
      <c r="L31" s="26"/>
      <c r="M31" s="26"/>
      <c r="N31" s="79"/>
      <c r="O31" s="22"/>
      <c r="P31" s="22"/>
      <c r="Q31" s="91"/>
      <c r="R31" s="88"/>
    </row>
    <row r="32" spans="1:18" s="18" customFormat="1" x14ac:dyDescent="0.2">
      <c r="A32" s="23"/>
      <c r="B32" s="97"/>
      <c r="C32" s="97"/>
      <c r="D32" s="24"/>
      <c r="E32" s="24"/>
      <c r="F32" s="24"/>
      <c r="G32" s="24"/>
      <c r="H32" s="24"/>
      <c r="I32" s="24"/>
      <c r="J32" s="24"/>
      <c r="K32" s="26"/>
      <c r="L32" s="26"/>
      <c r="M32" s="26"/>
      <c r="N32" s="79"/>
      <c r="O32" s="22"/>
      <c r="P32" s="22"/>
      <c r="Q32" s="91"/>
      <c r="R32" s="88"/>
    </row>
    <row r="33" spans="1:18" s="18" customFormat="1" x14ac:dyDescent="0.2">
      <c r="A33" s="23"/>
      <c r="B33" s="97"/>
      <c r="C33" s="97"/>
      <c r="D33" s="24"/>
      <c r="E33" s="24"/>
      <c r="F33" s="24"/>
      <c r="G33" s="24"/>
      <c r="H33" s="24"/>
      <c r="I33" s="24"/>
      <c r="J33" s="24"/>
      <c r="K33" s="36"/>
      <c r="L33" s="26"/>
      <c r="M33" s="26"/>
      <c r="N33" s="79"/>
      <c r="O33" s="22"/>
      <c r="P33" s="22"/>
      <c r="Q33" s="91"/>
      <c r="R33" s="88"/>
    </row>
    <row r="34" spans="1:18" s="18" customFormat="1" x14ac:dyDescent="0.2">
      <c r="A34" s="23"/>
      <c r="B34" s="97"/>
      <c r="C34" s="97"/>
      <c r="D34" s="24"/>
      <c r="E34" s="24"/>
      <c r="F34" s="24"/>
      <c r="G34" s="24"/>
      <c r="H34" s="24"/>
      <c r="I34" s="24"/>
      <c r="J34" s="24"/>
      <c r="K34" s="36"/>
      <c r="L34" s="26"/>
      <c r="M34" s="36"/>
      <c r="N34" s="80"/>
      <c r="O34" s="81"/>
      <c r="P34" s="81"/>
      <c r="Q34" s="92"/>
      <c r="R34" s="89"/>
    </row>
    <row r="35" spans="1:18" s="18" customFormat="1" x14ac:dyDescent="0.2">
      <c r="A35" s="23"/>
      <c r="B35" s="97"/>
      <c r="C35" s="97"/>
      <c r="D35" s="24"/>
      <c r="E35" s="24"/>
      <c r="F35" s="24"/>
      <c r="G35" s="24"/>
      <c r="H35" s="24"/>
      <c r="I35" s="24"/>
      <c r="J35" s="24"/>
      <c r="K35" s="36"/>
      <c r="L35" s="26"/>
      <c r="M35" s="26"/>
      <c r="N35" s="80"/>
      <c r="O35" s="81"/>
      <c r="P35" s="81"/>
      <c r="Q35" s="92"/>
      <c r="R35" s="89"/>
    </row>
    <row r="36" spans="1:18" s="18" customFormat="1" x14ac:dyDescent="0.2">
      <c r="A36" s="23"/>
      <c r="B36" s="97"/>
      <c r="C36" s="97"/>
      <c r="D36" s="24"/>
      <c r="E36" s="24"/>
      <c r="F36" s="24"/>
      <c r="G36" s="24"/>
      <c r="H36" s="24"/>
      <c r="I36" s="24"/>
      <c r="J36" s="24"/>
      <c r="K36" s="26"/>
      <c r="L36" s="26"/>
      <c r="M36" s="26"/>
      <c r="N36" s="79"/>
      <c r="O36" s="22"/>
      <c r="P36" s="22"/>
      <c r="Q36" s="91"/>
      <c r="R36" s="88"/>
    </row>
    <row r="37" spans="1:18" s="18" customFormat="1" x14ac:dyDescent="0.2">
      <c r="A37" s="23"/>
      <c r="B37" s="97"/>
      <c r="C37" s="97"/>
      <c r="D37" s="24"/>
      <c r="E37" s="24"/>
      <c r="F37" s="24"/>
      <c r="G37" s="24"/>
      <c r="H37" s="24"/>
      <c r="I37" s="24"/>
      <c r="J37" s="24"/>
      <c r="K37" s="26"/>
      <c r="L37" s="26"/>
      <c r="M37" s="26"/>
      <c r="N37" s="79"/>
      <c r="O37" s="22"/>
      <c r="P37" s="22"/>
      <c r="Q37" s="91"/>
      <c r="R37" s="88"/>
    </row>
    <row r="38" spans="1:18" s="18" customFormat="1" x14ac:dyDescent="0.2">
      <c r="A38" s="23"/>
      <c r="B38" s="97"/>
      <c r="C38" s="97"/>
      <c r="D38" s="24"/>
      <c r="E38" s="24"/>
      <c r="F38" s="24"/>
      <c r="G38" s="24"/>
      <c r="H38" s="24"/>
      <c r="I38" s="24"/>
      <c r="J38" s="24"/>
      <c r="K38" s="26"/>
      <c r="L38" s="26"/>
      <c r="M38" s="26"/>
      <c r="N38" s="79"/>
      <c r="O38" s="22"/>
      <c r="P38" s="22"/>
      <c r="Q38" s="91"/>
      <c r="R38" s="88"/>
    </row>
    <row r="39" spans="1:18" s="18" customFormat="1" x14ac:dyDescent="0.2">
      <c r="A39" s="23"/>
      <c r="B39" s="97"/>
      <c r="C39" s="97"/>
      <c r="D39" s="24"/>
      <c r="E39" s="24"/>
      <c r="F39" s="24"/>
      <c r="G39" s="24"/>
      <c r="H39" s="24"/>
      <c r="I39" s="24"/>
      <c r="J39" s="24"/>
      <c r="K39" s="26"/>
      <c r="L39" s="26"/>
      <c r="M39" s="26"/>
      <c r="N39" s="79"/>
      <c r="O39" s="22"/>
      <c r="P39" s="22"/>
      <c r="Q39" s="91"/>
      <c r="R39" s="88"/>
    </row>
    <row r="40" spans="1:18" s="18" customFormat="1" x14ac:dyDescent="0.2">
      <c r="A40" s="23"/>
      <c r="B40" s="97"/>
      <c r="C40" s="97"/>
      <c r="D40" s="24"/>
      <c r="E40" s="24"/>
      <c r="F40" s="24"/>
      <c r="G40" s="24"/>
      <c r="H40" s="24"/>
      <c r="I40" s="24"/>
      <c r="J40" s="24"/>
      <c r="K40" s="26"/>
      <c r="L40" s="26"/>
      <c r="M40" s="26"/>
      <c r="N40" s="79"/>
      <c r="O40" s="22"/>
      <c r="P40" s="22"/>
      <c r="Q40" s="91"/>
      <c r="R40" s="88"/>
    </row>
    <row r="41" spans="1:18" s="18" customFormat="1" x14ac:dyDescent="0.2">
      <c r="A41" s="23"/>
      <c r="B41" s="97"/>
      <c r="C41" s="97"/>
      <c r="D41" s="24"/>
      <c r="E41" s="24"/>
      <c r="F41" s="24"/>
      <c r="G41" s="24"/>
      <c r="H41" s="24"/>
      <c r="I41" s="24"/>
      <c r="J41" s="24"/>
      <c r="K41" s="26"/>
      <c r="L41" s="26"/>
      <c r="M41" s="26"/>
      <c r="N41" s="79"/>
      <c r="O41" s="22"/>
      <c r="P41" s="22"/>
      <c r="Q41" s="91"/>
      <c r="R41" s="88"/>
    </row>
    <row r="42" spans="1:18" s="18" customFormat="1" x14ac:dyDescent="0.2">
      <c r="A42" s="23"/>
      <c r="B42" s="97"/>
      <c r="C42" s="97"/>
      <c r="D42" s="24"/>
      <c r="E42" s="24"/>
      <c r="F42" s="24"/>
      <c r="G42" s="24"/>
      <c r="H42" s="24"/>
      <c r="I42" s="24"/>
      <c r="J42" s="24"/>
      <c r="K42" s="26"/>
      <c r="L42" s="26"/>
      <c r="M42" s="36"/>
      <c r="N42" s="79"/>
      <c r="O42" s="81"/>
      <c r="P42" s="81"/>
      <c r="Q42" s="92"/>
      <c r="R42" s="89"/>
    </row>
    <row r="43" spans="1:18" s="18" customFormat="1" x14ac:dyDescent="0.2">
      <c r="A43" s="23"/>
      <c r="B43" s="97"/>
      <c r="C43" s="97"/>
      <c r="D43" s="24"/>
      <c r="E43" s="24"/>
      <c r="F43" s="24"/>
      <c r="G43" s="24"/>
      <c r="H43" s="24"/>
      <c r="I43" s="24"/>
      <c r="J43" s="24"/>
      <c r="K43" s="26"/>
      <c r="L43" s="26"/>
      <c r="M43" s="26"/>
      <c r="N43" s="79"/>
      <c r="O43" s="22"/>
      <c r="P43" s="22"/>
      <c r="Q43" s="91"/>
      <c r="R43" s="88"/>
    </row>
    <row r="44" spans="1:18" s="18" customFormat="1" x14ac:dyDescent="0.2">
      <c r="A44" s="23"/>
      <c r="B44" s="97"/>
      <c r="C44" s="97"/>
      <c r="D44" s="24"/>
      <c r="E44" s="24"/>
      <c r="F44" s="24"/>
      <c r="G44" s="24"/>
      <c r="H44" s="24"/>
      <c r="I44" s="24"/>
      <c r="J44" s="24"/>
      <c r="K44" s="26"/>
      <c r="L44" s="26"/>
      <c r="M44" s="26"/>
      <c r="N44" s="79"/>
      <c r="O44" s="22"/>
      <c r="P44" s="22"/>
      <c r="Q44" s="91"/>
      <c r="R44" s="88"/>
    </row>
    <row r="45" spans="1:18" s="18" customFormat="1" x14ac:dyDescent="0.2">
      <c r="A45" s="23"/>
      <c r="B45" s="97"/>
      <c r="C45" s="97"/>
      <c r="D45" s="24"/>
      <c r="E45" s="24"/>
      <c r="F45" s="24"/>
      <c r="G45" s="24"/>
      <c r="H45" s="24"/>
      <c r="I45" s="24"/>
      <c r="J45" s="24"/>
      <c r="K45" s="26"/>
      <c r="L45" s="26"/>
      <c r="M45" s="26"/>
      <c r="N45" s="79"/>
      <c r="O45" s="22"/>
      <c r="P45" s="22"/>
      <c r="Q45" s="91"/>
      <c r="R45" s="88"/>
    </row>
    <row r="46" spans="1:18" s="18" customFormat="1" x14ac:dyDescent="0.2">
      <c r="A46" s="23"/>
      <c r="B46" s="97"/>
      <c r="C46" s="97"/>
      <c r="D46" s="24"/>
      <c r="E46" s="24"/>
      <c r="F46" s="24"/>
      <c r="G46" s="24"/>
      <c r="H46" s="24"/>
      <c r="I46" s="24"/>
      <c r="J46" s="24"/>
      <c r="K46" s="26"/>
      <c r="L46" s="26"/>
      <c r="M46" s="26"/>
      <c r="N46" s="79"/>
      <c r="O46" s="22"/>
      <c r="P46" s="22"/>
      <c r="Q46" s="91"/>
      <c r="R46" s="88"/>
    </row>
    <row r="47" spans="1:18" s="18" customFormat="1" x14ac:dyDescent="0.2">
      <c r="A47" s="23"/>
      <c r="B47" s="97"/>
      <c r="C47" s="97"/>
      <c r="D47" s="24"/>
      <c r="E47" s="24"/>
      <c r="F47" s="24"/>
      <c r="G47" s="24"/>
      <c r="H47" s="24"/>
      <c r="I47" s="24"/>
      <c r="J47" s="24"/>
      <c r="K47" s="36"/>
      <c r="L47" s="26"/>
      <c r="M47" s="26"/>
      <c r="N47" s="79"/>
      <c r="O47" s="22"/>
      <c r="P47" s="22"/>
      <c r="Q47" s="91"/>
      <c r="R47" s="88"/>
    </row>
    <row r="48" spans="1:18" s="18" customFormat="1" x14ac:dyDescent="0.2">
      <c r="A48" s="23"/>
      <c r="B48" s="97"/>
      <c r="C48" s="97"/>
      <c r="D48" s="24"/>
      <c r="E48" s="24"/>
      <c r="F48" s="24"/>
      <c r="G48" s="24"/>
      <c r="H48" s="24"/>
      <c r="I48" s="24"/>
      <c r="J48" s="24"/>
      <c r="K48" s="26"/>
      <c r="L48" s="26"/>
      <c r="M48" s="26"/>
      <c r="N48" s="79"/>
      <c r="O48" s="22"/>
      <c r="P48" s="22"/>
      <c r="Q48" s="91"/>
      <c r="R48" s="88"/>
    </row>
    <row r="49" spans="1:18" s="18" customFormat="1" x14ac:dyDescent="0.2">
      <c r="A49" s="23"/>
      <c r="B49" s="97"/>
      <c r="C49" s="97"/>
      <c r="D49" s="24"/>
      <c r="E49" s="24"/>
      <c r="F49" s="24"/>
      <c r="G49" s="24"/>
      <c r="H49" s="24"/>
      <c r="I49" s="24"/>
      <c r="J49" s="24"/>
      <c r="K49" s="26"/>
      <c r="L49" s="26"/>
      <c r="M49" s="26"/>
      <c r="N49" s="79"/>
      <c r="O49" s="22"/>
      <c r="P49" s="22"/>
      <c r="Q49" s="91"/>
      <c r="R49" s="88"/>
    </row>
    <row r="50" spans="1:18" s="18" customFormat="1" x14ac:dyDescent="0.2">
      <c r="A50" s="23"/>
      <c r="B50" s="97"/>
      <c r="C50" s="97"/>
      <c r="D50" s="24"/>
      <c r="E50" s="24"/>
      <c r="F50" s="24"/>
      <c r="G50" s="24"/>
      <c r="H50" s="24"/>
      <c r="I50" s="24"/>
      <c r="J50" s="24"/>
      <c r="K50" s="26"/>
      <c r="L50" s="26"/>
      <c r="M50" s="26"/>
      <c r="N50" s="79"/>
      <c r="O50" s="22"/>
      <c r="P50" s="22"/>
      <c r="Q50" s="91"/>
      <c r="R50" s="88"/>
    </row>
    <row r="51" spans="1:18" s="18" customFormat="1" x14ac:dyDescent="0.2">
      <c r="A51" s="23"/>
      <c r="B51" s="97"/>
      <c r="C51" s="97"/>
      <c r="D51" s="24"/>
      <c r="E51" s="24"/>
      <c r="F51" s="24"/>
      <c r="G51" s="24"/>
      <c r="H51" s="24"/>
      <c r="I51" s="24"/>
      <c r="J51" s="24"/>
      <c r="K51" s="26"/>
      <c r="L51" s="26"/>
      <c r="M51" s="26"/>
      <c r="N51" s="79"/>
      <c r="O51" s="22"/>
      <c r="P51" s="22"/>
      <c r="Q51" s="91"/>
      <c r="R51" s="88"/>
    </row>
    <row r="52" spans="1:18" s="18" customFormat="1" x14ac:dyDescent="0.2">
      <c r="A52" s="23"/>
      <c r="B52" s="97"/>
      <c r="C52" s="97"/>
      <c r="D52" s="24"/>
      <c r="E52" s="24"/>
      <c r="F52" s="24"/>
      <c r="G52" s="24"/>
      <c r="H52" s="24"/>
      <c r="I52" s="24"/>
      <c r="J52" s="24"/>
      <c r="K52" s="26"/>
      <c r="L52" s="26"/>
      <c r="M52" s="26"/>
      <c r="N52" s="79"/>
      <c r="O52" s="22"/>
      <c r="P52" s="22"/>
      <c r="Q52" s="91"/>
      <c r="R52" s="88"/>
    </row>
    <row r="53" spans="1:18" s="18" customFormat="1" x14ac:dyDescent="0.2">
      <c r="A53" s="23"/>
      <c r="B53" s="97"/>
      <c r="C53" s="97"/>
      <c r="D53" s="24"/>
      <c r="E53" s="24"/>
      <c r="F53" s="24"/>
      <c r="G53" s="24"/>
      <c r="H53" s="24"/>
      <c r="I53" s="24"/>
      <c r="J53" s="24"/>
      <c r="K53" s="26"/>
      <c r="L53" s="26"/>
      <c r="M53" s="26"/>
      <c r="N53" s="79"/>
      <c r="O53" s="22"/>
      <c r="P53" s="22"/>
      <c r="Q53" s="91"/>
      <c r="R53" s="88"/>
    </row>
    <row r="54" spans="1:18" s="18" customFormat="1" x14ac:dyDescent="0.2">
      <c r="A54" s="23"/>
      <c r="B54" s="97"/>
      <c r="C54" s="97"/>
      <c r="D54" s="24"/>
      <c r="E54" s="24"/>
      <c r="F54" s="24"/>
      <c r="G54" s="24"/>
      <c r="H54" s="24"/>
      <c r="I54" s="24"/>
      <c r="J54" s="24"/>
      <c r="K54" s="26"/>
      <c r="L54" s="26"/>
      <c r="M54" s="26"/>
      <c r="N54" s="79"/>
      <c r="O54" s="22"/>
      <c r="P54" s="22"/>
      <c r="Q54" s="91"/>
      <c r="R54" s="88"/>
    </row>
    <row r="55" spans="1:18" s="18" customFormat="1" x14ac:dyDescent="0.2">
      <c r="A55" s="23"/>
      <c r="B55" s="97"/>
      <c r="C55" s="97"/>
      <c r="D55" s="24"/>
      <c r="E55" s="24"/>
      <c r="F55" s="24"/>
      <c r="G55" s="24"/>
      <c r="H55" s="24"/>
      <c r="I55" s="24"/>
      <c r="J55" s="24"/>
      <c r="K55" s="26"/>
      <c r="L55" s="26"/>
      <c r="M55" s="26"/>
      <c r="N55" s="79"/>
      <c r="O55" s="22"/>
      <c r="P55" s="22"/>
      <c r="Q55" s="91"/>
      <c r="R55" s="88"/>
    </row>
    <row r="56" spans="1:18" s="18" customFormat="1" x14ac:dyDescent="0.2">
      <c r="A56" s="23"/>
      <c r="B56" s="97"/>
      <c r="C56" s="97"/>
      <c r="D56" s="24"/>
      <c r="E56" s="24"/>
      <c r="F56" s="24"/>
      <c r="G56" s="24"/>
      <c r="H56" s="24"/>
      <c r="I56" s="24"/>
      <c r="J56" s="24"/>
      <c r="K56" s="26"/>
      <c r="L56" s="26"/>
      <c r="M56" s="26"/>
      <c r="N56" s="79"/>
      <c r="O56" s="22"/>
      <c r="P56" s="22"/>
      <c r="Q56" s="91"/>
      <c r="R56" s="88"/>
    </row>
    <row r="57" spans="1:18" s="18" customFormat="1" x14ac:dyDescent="0.2">
      <c r="A57" s="23"/>
      <c r="B57" s="97"/>
      <c r="C57" s="97"/>
      <c r="D57" s="24"/>
      <c r="E57" s="24"/>
      <c r="F57" s="24"/>
      <c r="G57" s="24"/>
      <c r="H57" s="24"/>
      <c r="I57" s="24"/>
      <c r="J57" s="24"/>
      <c r="K57" s="26"/>
      <c r="L57" s="26"/>
      <c r="M57" s="26"/>
      <c r="N57" s="79"/>
      <c r="O57" s="22"/>
      <c r="P57" s="22"/>
      <c r="Q57" s="91"/>
      <c r="R57" s="88"/>
    </row>
    <row r="58" spans="1:18" s="18" customFormat="1" x14ac:dyDescent="0.2">
      <c r="A58" s="23"/>
      <c r="B58" s="97"/>
      <c r="C58" s="97"/>
      <c r="D58" s="24"/>
      <c r="E58" s="24"/>
      <c r="F58" s="24"/>
      <c r="G58" s="24"/>
      <c r="H58" s="24"/>
      <c r="I58" s="24"/>
      <c r="J58" s="24"/>
      <c r="K58" s="26"/>
      <c r="L58" s="26"/>
      <c r="M58" s="26"/>
      <c r="N58" s="79"/>
      <c r="O58" s="22"/>
      <c r="P58" s="22"/>
      <c r="Q58" s="91"/>
      <c r="R58" s="88"/>
    </row>
    <row r="59" spans="1:18" s="18" customFormat="1" x14ac:dyDescent="0.2">
      <c r="A59" s="23"/>
      <c r="B59" s="97"/>
      <c r="C59" s="97"/>
      <c r="D59" s="24"/>
      <c r="E59" s="24"/>
      <c r="F59" s="24"/>
      <c r="G59" s="24"/>
      <c r="H59" s="24"/>
      <c r="I59" s="24"/>
      <c r="J59" s="24"/>
      <c r="K59" s="26"/>
      <c r="L59" s="26"/>
      <c r="M59" s="26"/>
      <c r="N59" s="79"/>
      <c r="O59" s="22"/>
      <c r="P59" s="22"/>
      <c r="Q59" s="91"/>
      <c r="R59" s="88"/>
    </row>
    <row r="60" spans="1:18" s="18" customFormat="1" x14ac:dyDescent="0.2">
      <c r="A60" s="23"/>
      <c r="B60" s="97"/>
      <c r="C60" s="97"/>
      <c r="D60" s="24"/>
      <c r="E60" s="24"/>
      <c r="F60" s="24"/>
      <c r="G60" s="24"/>
      <c r="H60" s="24"/>
      <c r="I60" s="24"/>
      <c r="J60" s="24"/>
      <c r="K60" s="36"/>
      <c r="L60" s="26"/>
      <c r="M60" s="26"/>
      <c r="N60" s="79"/>
      <c r="O60" s="81"/>
      <c r="P60" s="81"/>
      <c r="Q60" s="92"/>
      <c r="R60" s="89"/>
    </row>
    <row r="61" spans="1:18" s="18" customFormat="1" x14ac:dyDescent="0.2">
      <c r="A61" s="23"/>
      <c r="B61" s="97"/>
      <c r="C61" s="97"/>
      <c r="D61" s="24"/>
      <c r="E61" s="24"/>
      <c r="F61" s="24"/>
      <c r="G61" s="24"/>
      <c r="H61" s="24"/>
      <c r="I61" s="24"/>
      <c r="J61" s="24"/>
      <c r="K61" s="26"/>
      <c r="L61" s="26"/>
      <c r="M61" s="26"/>
      <c r="N61" s="79"/>
      <c r="O61" s="22"/>
      <c r="P61" s="22"/>
      <c r="Q61" s="91"/>
      <c r="R61" s="88"/>
    </row>
    <row r="62" spans="1:18" s="18" customFormat="1" x14ac:dyDescent="0.2">
      <c r="A62" s="23"/>
      <c r="B62" s="97"/>
      <c r="C62" s="97"/>
      <c r="D62" s="24"/>
      <c r="E62" s="24"/>
      <c r="F62" s="24"/>
      <c r="G62" s="24"/>
      <c r="H62" s="24"/>
      <c r="I62" s="24"/>
      <c r="J62" s="24"/>
      <c r="K62" s="26"/>
      <c r="L62" s="26"/>
      <c r="M62" s="26"/>
      <c r="N62" s="79"/>
      <c r="O62" s="22"/>
      <c r="P62" s="22"/>
      <c r="Q62" s="91"/>
      <c r="R62" s="88"/>
    </row>
    <row r="63" spans="1:18" s="18" customFormat="1" ht="89.25" customHeight="1" x14ac:dyDescent="0.2">
      <c r="A63" s="23"/>
      <c r="B63" s="97"/>
      <c r="C63" s="97"/>
      <c r="D63" s="24"/>
      <c r="E63" s="24"/>
      <c r="F63" s="24"/>
      <c r="G63" s="24"/>
      <c r="H63" s="24"/>
      <c r="I63" s="24"/>
      <c r="J63" s="24"/>
      <c r="K63" s="36"/>
      <c r="L63" s="26"/>
      <c r="M63" s="26"/>
      <c r="N63" s="79"/>
      <c r="O63" s="22"/>
      <c r="P63" s="22"/>
      <c r="Q63" s="91"/>
      <c r="R63" s="88"/>
    </row>
    <row r="64" spans="1:18" s="18" customFormat="1" x14ac:dyDescent="0.2">
      <c r="A64" s="23"/>
      <c r="B64" s="97"/>
      <c r="C64" s="97"/>
      <c r="D64" s="24"/>
      <c r="E64" s="24"/>
      <c r="F64" s="24"/>
      <c r="G64" s="24"/>
      <c r="H64" s="24"/>
      <c r="I64" s="24"/>
      <c r="J64" s="24"/>
      <c r="K64" s="26"/>
      <c r="L64" s="26"/>
      <c r="M64" s="26"/>
      <c r="N64" s="79"/>
      <c r="O64" s="22"/>
      <c r="P64" s="22"/>
      <c r="Q64" s="91"/>
      <c r="R64" s="88"/>
    </row>
    <row r="65" spans="1:18" s="18" customFormat="1" x14ac:dyDescent="0.2">
      <c r="A65" s="23"/>
      <c r="B65" s="97"/>
      <c r="C65" s="97"/>
      <c r="D65" s="24"/>
      <c r="E65" s="24"/>
      <c r="F65" s="24"/>
      <c r="G65" s="24"/>
      <c r="H65" s="24"/>
      <c r="I65" s="24"/>
      <c r="J65" s="24"/>
      <c r="K65" s="26"/>
      <c r="L65" s="26"/>
      <c r="M65" s="26"/>
      <c r="N65" s="79"/>
      <c r="O65" s="22"/>
      <c r="P65" s="22"/>
      <c r="Q65" s="91"/>
      <c r="R65" s="88"/>
    </row>
    <row r="66" spans="1:18" s="18" customFormat="1" x14ac:dyDescent="0.2">
      <c r="A66" s="23"/>
      <c r="B66" s="97"/>
      <c r="C66" s="97"/>
      <c r="D66" s="24"/>
      <c r="E66" s="24"/>
      <c r="F66" s="24"/>
      <c r="G66" s="24"/>
      <c r="H66" s="24"/>
      <c r="I66" s="24"/>
      <c r="J66" s="24"/>
      <c r="K66" s="26"/>
      <c r="L66" s="26"/>
      <c r="M66" s="26"/>
      <c r="N66" s="79"/>
      <c r="O66" s="22"/>
      <c r="P66" s="22"/>
      <c r="Q66" s="91"/>
      <c r="R66" s="88"/>
    </row>
    <row r="67" spans="1:18" s="18" customFormat="1" x14ac:dyDescent="0.2">
      <c r="A67" s="23"/>
      <c r="B67" s="97"/>
      <c r="C67" s="97"/>
      <c r="D67" s="24"/>
      <c r="E67" s="24"/>
      <c r="F67" s="24"/>
      <c r="G67" s="24"/>
      <c r="H67" s="24"/>
      <c r="I67" s="24"/>
      <c r="J67" s="24"/>
      <c r="K67" s="36"/>
      <c r="L67" s="26"/>
      <c r="M67" s="26"/>
      <c r="N67" s="79"/>
      <c r="O67" s="22"/>
      <c r="P67" s="22"/>
      <c r="Q67" s="91"/>
      <c r="R67" s="88"/>
    </row>
    <row r="68" spans="1:18" s="18" customFormat="1" x14ac:dyDescent="0.2">
      <c r="A68" s="23"/>
      <c r="B68" s="97"/>
      <c r="C68" s="97"/>
      <c r="D68" s="24"/>
      <c r="E68" s="24"/>
      <c r="F68" s="24"/>
      <c r="G68" s="24"/>
      <c r="H68" s="24"/>
      <c r="I68" s="24"/>
      <c r="J68" s="24"/>
      <c r="K68" s="26"/>
      <c r="L68" s="26"/>
      <c r="M68" s="36"/>
      <c r="N68" s="79"/>
      <c r="O68" s="22"/>
      <c r="P68" s="22"/>
      <c r="Q68" s="91"/>
      <c r="R68" s="88"/>
    </row>
    <row r="69" spans="1:18" s="18" customFormat="1" x14ac:dyDescent="0.2">
      <c r="A69" s="23"/>
      <c r="B69" s="97"/>
      <c r="C69" s="97"/>
      <c r="D69" s="24"/>
      <c r="E69" s="24"/>
      <c r="F69" s="24"/>
      <c r="G69" s="24"/>
      <c r="H69" s="24"/>
      <c r="I69" s="24"/>
      <c r="J69" s="24"/>
      <c r="K69" s="36"/>
      <c r="L69" s="26"/>
      <c r="M69" s="36"/>
      <c r="N69" s="79"/>
      <c r="O69" s="81"/>
      <c r="P69" s="81"/>
      <c r="Q69" s="92"/>
      <c r="R69" s="89"/>
    </row>
    <row r="70" spans="1:18" s="18" customFormat="1" x14ac:dyDescent="0.2">
      <c r="A70" s="23"/>
      <c r="B70" s="97"/>
      <c r="C70" s="97"/>
      <c r="D70" s="24"/>
      <c r="E70" s="24"/>
      <c r="F70" s="24"/>
      <c r="G70" s="24"/>
      <c r="H70" s="24"/>
      <c r="I70" s="24"/>
      <c r="J70" s="24"/>
      <c r="K70" s="26"/>
      <c r="L70" s="26"/>
      <c r="M70" s="26"/>
      <c r="N70" s="79"/>
      <c r="O70" s="22"/>
      <c r="P70" s="22"/>
      <c r="Q70" s="91"/>
      <c r="R70" s="88"/>
    </row>
    <row r="71" spans="1:18" s="18" customFormat="1" x14ac:dyDescent="0.2">
      <c r="A71" s="23"/>
      <c r="B71" s="97"/>
      <c r="C71" s="97"/>
      <c r="D71" s="24"/>
      <c r="E71" s="24"/>
      <c r="F71" s="24"/>
      <c r="G71" s="24"/>
      <c r="H71" s="24"/>
      <c r="I71" s="24"/>
      <c r="J71" s="24"/>
      <c r="K71" s="26"/>
      <c r="L71" s="26"/>
      <c r="M71" s="26"/>
      <c r="N71" s="79"/>
      <c r="O71" s="22"/>
      <c r="P71" s="22"/>
      <c r="Q71" s="91"/>
      <c r="R71" s="88"/>
    </row>
    <row r="72" spans="1:18" s="18" customFormat="1" x14ac:dyDescent="0.2">
      <c r="A72" s="23"/>
      <c r="B72" s="97"/>
      <c r="C72" s="97"/>
      <c r="D72" s="24"/>
      <c r="E72" s="24"/>
      <c r="F72" s="24"/>
      <c r="G72" s="24"/>
      <c r="H72" s="24"/>
      <c r="I72" s="24"/>
      <c r="J72" s="24"/>
      <c r="K72" s="26"/>
      <c r="L72" s="26"/>
      <c r="M72" s="26"/>
      <c r="N72" s="79"/>
      <c r="O72" s="22"/>
      <c r="P72" s="22"/>
      <c r="Q72" s="91"/>
      <c r="R72" s="88"/>
    </row>
    <row r="73" spans="1:18" s="18" customFormat="1" x14ac:dyDescent="0.2">
      <c r="A73" s="23"/>
      <c r="B73" s="97"/>
      <c r="C73" s="97"/>
      <c r="D73" s="24"/>
      <c r="E73" s="24"/>
      <c r="F73" s="24"/>
      <c r="G73" s="24"/>
      <c r="H73" s="24"/>
      <c r="I73" s="24"/>
      <c r="J73" s="24"/>
      <c r="K73" s="26"/>
      <c r="L73" s="26"/>
      <c r="M73" s="26"/>
      <c r="N73" s="79"/>
      <c r="O73" s="22"/>
      <c r="P73" s="22"/>
      <c r="Q73" s="91"/>
      <c r="R73" s="88"/>
    </row>
    <row r="74" spans="1:18" s="18" customFormat="1" x14ac:dyDescent="0.2">
      <c r="A74" s="23"/>
      <c r="B74" s="97"/>
      <c r="C74" s="97"/>
      <c r="D74" s="24"/>
      <c r="E74" s="24"/>
      <c r="F74" s="24"/>
      <c r="G74" s="24"/>
      <c r="H74" s="24"/>
      <c r="I74" s="24"/>
      <c r="J74" s="24"/>
      <c r="K74" s="26"/>
      <c r="L74" s="26"/>
      <c r="M74" s="26"/>
      <c r="N74" s="79"/>
      <c r="O74" s="22"/>
      <c r="P74" s="22"/>
      <c r="Q74" s="91"/>
      <c r="R74" s="88"/>
    </row>
    <row r="75" spans="1:18" s="18" customFormat="1" x14ac:dyDescent="0.2">
      <c r="A75" s="23"/>
      <c r="B75" s="97"/>
      <c r="C75" s="97"/>
      <c r="D75" s="24"/>
      <c r="E75" s="24"/>
      <c r="F75" s="24"/>
      <c r="G75" s="24"/>
      <c r="H75" s="24"/>
      <c r="I75" s="24"/>
      <c r="J75" s="24"/>
      <c r="K75" s="36"/>
      <c r="L75" s="26"/>
      <c r="M75" s="26"/>
      <c r="N75" s="79"/>
      <c r="O75" s="22"/>
      <c r="P75" s="22"/>
      <c r="Q75" s="91"/>
      <c r="R75" s="88"/>
    </row>
    <row r="76" spans="1:18" s="18" customFormat="1" x14ac:dyDescent="0.2">
      <c r="A76" s="23"/>
      <c r="B76" s="97"/>
      <c r="C76" s="97"/>
      <c r="D76" s="24"/>
      <c r="E76" s="24"/>
      <c r="F76" s="24"/>
      <c r="G76" s="24"/>
      <c r="H76" s="24"/>
      <c r="I76" s="24"/>
      <c r="J76" s="24"/>
      <c r="K76" s="26"/>
      <c r="L76" s="26"/>
      <c r="M76" s="26"/>
      <c r="N76" s="79"/>
      <c r="O76" s="22"/>
      <c r="P76" s="22"/>
      <c r="Q76" s="91"/>
      <c r="R76" s="88"/>
    </row>
    <row r="77" spans="1:18" s="18" customFormat="1" x14ac:dyDescent="0.2">
      <c r="A77" s="23"/>
      <c r="B77" s="97"/>
      <c r="C77" s="97"/>
      <c r="D77" s="24"/>
      <c r="E77" s="24"/>
      <c r="F77" s="24"/>
      <c r="G77" s="24"/>
      <c r="H77" s="24"/>
      <c r="I77" s="24"/>
      <c r="J77" s="24"/>
      <c r="K77" s="26"/>
      <c r="L77" s="26"/>
      <c r="M77" s="26"/>
      <c r="N77" s="79"/>
      <c r="O77" s="22"/>
      <c r="P77" s="22"/>
      <c r="Q77" s="91"/>
      <c r="R77" s="88"/>
    </row>
    <row r="78" spans="1:18" s="18" customFormat="1" x14ac:dyDescent="0.2">
      <c r="A78" s="23"/>
      <c r="B78" s="97"/>
      <c r="C78" s="97"/>
      <c r="D78" s="24"/>
      <c r="E78" s="24"/>
      <c r="F78" s="24"/>
      <c r="G78" s="24"/>
      <c r="H78" s="24"/>
      <c r="I78" s="24"/>
      <c r="J78" s="24"/>
      <c r="K78" s="26"/>
      <c r="L78" s="26"/>
      <c r="M78" s="26"/>
      <c r="N78" s="79"/>
      <c r="O78" s="22"/>
      <c r="P78" s="22"/>
      <c r="Q78" s="91"/>
      <c r="R78" s="88"/>
    </row>
    <row r="79" spans="1:18" s="18" customFormat="1" x14ac:dyDescent="0.2">
      <c r="A79" s="23"/>
      <c r="B79" s="97"/>
      <c r="C79" s="97"/>
      <c r="D79" s="24"/>
      <c r="E79" s="24"/>
      <c r="F79" s="24"/>
      <c r="G79" s="24"/>
      <c r="H79" s="24"/>
      <c r="I79" s="24"/>
      <c r="J79" s="24"/>
      <c r="K79" s="26"/>
      <c r="L79" s="26"/>
      <c r="M79" s="26"/>
      <c r="N79" s="79"/>
      <c r="O79" s="22"/>
      <c r="P79" s="22"/>
      <c r="Q79" s="91"/>
      <c r="R79" s="88"/>
    </row>
    <row r="80" spans="1:18" s="18" customFormat="1" x14ac:dyDescent="0.2">
      <c r="A80" s="23"/>
      <c r="B80" s="97"/>
      <c r="C80" s="97"/>
      <c r="D80" s="24"/>
      <c r="E80" s="24"/>
      <c r="F80" s="24"/>
      <c r="G80" s="24"/>
      <c r="H80" s="24"/>
      <c r="I80" s="24"/>
      <c r="J80" s="24"/>
      <c r="K80" s="26"/>
      <c r="L80" s="26"/>
      <c r="M80" s="26"/>
      <c r="N80" s="79"/>
      <c r="O80" s="22"/>
      <c r="P80" s="22"/>
      <c r="Q80" s="91"/>
      <c r="R80" s="88"/>
    </row>
    <row r="81" spans="1:18" s="18" customFormat="1" x14ac:dyDescent="0.2">
      <c r="A81" s="23"/>
      <c r="B81" s="97"/>
      <c r="C81" s="97"/>
      <c r="D81" s="24"/>
      <c r="E81" s="24"/>
      <c r="F81" s="24"/>
      <c r="G81" s="24"/>
      <c r="H81" s="24"/>
      <c r="I81" s="24"/>
      <c r="J81" s="24"/>
      <c r="K81" s="26"/>
      <c r="L81" s="26"/>
      <c r="M81" s="26"/>
      <c r="N81" s="79"/>
      <c r="O81" s="22"/>
      <c r="P81" s="22"/>
      <c r="Q81" s="91"/>
      <c r="R81" s="88"/>
    </row>
    <row r="82" spans="1:18" s="18" customFormat="1" x14ac:dyDescent="0.2">
      <c r="A82" s="23"/>
      <c r="B82" s="97"/>
      <c r="C82" s="97"/>
      <c r="D82" s="24"/>
      <c r="E82" s="24"/>
      <c r="F82" s="24"/>
      <c r="G82" s="24"/>
      <c r="H82" s="24"/>
      <c r="I82" s="24"/>
      <c r="J82" s="24"/>
      <c r="K82" s="26"/>
      <c r="L82" s="26"/>
      <c r="M82" s="26"/>
      <c r="N82" s="79"/>
      <c r="O82" s="22"/>
      <c r="P82" s="22"/>
      <c r="Q82" s="91"/>
      <c r="R82" s="88"/>
    </row>
    <row r="83" spans="1:18" s="18" customFormat="1" x14ac:dyDescent="0.2">
      <c r="A83" s="23"/>
      <c r="B83" s="97"/>
      <c r="C83" s="97"/>
      <c r="D83" s="24"/>
      <c r="E83" s="24"/>
      <c r="F83" s="24"/>
      <c r="G83" s="24"/>
      <c r="H83" s="24"/>
      <c r="I83" s="24"/>
      <c r="J83" s="24"/>
      <c r="K83" s="36"/>
      <c r="L83" s="26"/>
      <c r="M83" s="36"/>
      <c r="N83" s="79"/>
      <c r="O83" s="81"/>
      <c r="P83" s="81"/>
      <c r="Q83" s="92"/>
      <c r="R83" s="89"/>
    </row>
    <row r="84" spans="1:18" s="18" customFormat="1" x14ac:dyDescent="0.2">
      <c r="A84" s="23"/>
      <c r="B84" s="97"/>
      <c r="C84" s="97"/>
      <c r="D84" s="24"/>
      <c r="E84" s="24"/>
      <c r="F84" s="24"/>
      <c r="G84" s="24"/>
      <c r="H84" s="24"/>
      <c r="I84" s="24"/>
      <c r="J84" s="24"/>
      <c r="K84" s="26"/>
      <c r="L84" s="26"/>
      <c r="M84" s="26"/>
      <c r="N84" s="79"/>
      <c r="O84" s="22"/>
      <c r="P84" s="22"/>
      <c r="Q84" s="91"/>
      <c r="R84" s="88"/>
    </row>
    <row r="85" spans="1:18" s="18" customFormat="1" x14ac:dyDescent="0.2">
      <c r="A85" s="23"/>
      <c r="B85" s="97"/>
      <c r="C85" s="97"/>
      <c r="D85" s="24"/>
      <c r="E85" s="24"/>
      <c r="F85" s="24"/>
      <c r="G85" s="24"/>
      <c r="H85" s="24"/>
      <c r="I85" s="24"/>
      <c r="J85" s="24"/>
      <c r="K85" s="26"/>
      <c r="L85" s="26"/>
      <c r="M85" s="26"/>
      <c r="N85" s="79"/>
      <c r="O85" s="22"/>
      <c r="P85" s="22"/>
      <c r="Q85" s="91"/>
      <c r="R85" s="88"/>
    </row>
    <row r="86" spans="1:18" s="18" customFormat="1" x14ac:dyDescent="0.2">
      <c r="A86" s="23"/>
      <c r="B86" s="97"/>
      <c r="C86" s="97"/>
      <c r="D86" s="24"/>
      <c r="E86" s="24"/>
      <c r="F86" s="24"/>
      <c r="G86" s="24"/>
      <c r="H86" s="24"/>
      <c r="I86" s="24"/>
      <c r="J86" s="24"/>
      <c r="K86" s="26"/>
      <c r="L86" s="26"/>
      <c r="M86" s="26"/>
      <c r="N86" s="79"/>
      <c r="O86" s="22"/>
      <c r="P86" s="22"/>
      <c r="Q86" s="91"/>
      <c r="R86" s="88"/>
    </row>
    <row r="87" spans="1:18" s="18" customFormat="1" x14ac:dyDescent="0.2">
      <c r="A87" s="23"/>
      <c r="B87" s="97"/>
      <c r="C87" s="97"/>
      <c r="D87" s="24"/>
      <c r="E87" s="24"/>
      <c r="F87" s="24"/>
      <c r="G87" s="24"/>
      <c r="H87" s="24"/>
      <c r="I87" s="24"/>
      <c r="J87" s="24"/>
      <c r="K87" s="36"/>
      <c r="L87" s="26"/>
      <c r="M87" s="26"/>
      <c r="N87" s="79"/>
      <c r="O87" s="81"/>
      <c r="P87" s="81"/>
      <c r="Q87" s="92"/>
      <c r="R87" s="89"/>
    </row>
    <row r="88" spans="1:18" s="18" customFormat="1" x14ac:dyDescent="0.2">
      <c r="A88" s="23"/>
      <c r="B88" s="97"/>
      <c r="C88" s="97"/>
      <c r="D88" s="24"/>
      <c r="E88" s="24"/>
      <c r="F88" s="24"/>
      <c r="G88" s="24"/>
      <c r="H88" s="24"/>
      <c r="I88" s="24"/>
      <c r="J88" s="24"/>
      <c r="K88" s="26"/>
      <c r="L88" s="26"/>
      <c r="M88" s="26"/>
      <c r="N88" s="79"/>
      <c r="O88" s="22"/>
      <c r="P88" s="22"/>
      <c r="Q88" s="91"/>
      <c r="R88" s="88"/>
    </row>
    <row r="89" spans="1:18" s="18" customFormat="1" x14ac:dyDescent="0.2">
      <c r="A89" s="23"/>
      <c r="B89" s="97"/>
      <c r="C89" s="97"/>
      <c r="D89" s="24"/>
      <c r="E89" s="24"/>
      <c r="F89" s="24"/>
      <c r="G89" s="24"/>
      <c r="H89" s="24"/>
      <c r="I89" s="24"/>
      <c r="J89" s="24"/>
      <c r="K89" s="26"/>
      <c r="L89" s="26"/>
      <c r="M89" s="26"/>
      <c r="N89" s="79"/>
      <c r="O89" s="22"/>
      <c r="P89" s="22"/>
      <c r="Q89" s="91"/>
      <c r="R89" s="88"/>
    </row>
    <row r="90" spans="1:18" s="18" customFormat="1" x14ac:dyDescent="0.2">
      <c r="A90" s="23"/>
      <c r="B90" s="97"/>
      <c r="C90" s="97"/>
      <c r="D90" s="24"/>
      <c r="E90" s="24"/>
      <c r="F90" s="24"/>
      <c r="G90" s="24"/>
      <c r="H90" s="24"/>
      <c r="I90" s="24"/>
      <c r="J90" s="24"/>
      <c r="K90" s="26"/>
      <c r="L90" s="26"/>
      <c r="M90" s="26"/>
      <c r="N90" s="79"/>
      <c r="O90" s="22"/>
      <c r="P90" s="22"/>
      <c r="Q90" s="91"/>
      <c r="R90" s="88"/>
    </row>
    <row r="91" spans="1:18" s="18" customFormat="1" x14ac:dyDescent="0.2">
      <c r="A91" s="23"/>
      <c r="B91" s="97"/>
      <c r="C91" s="97"/>
      <c r="D91" s="24"/>
      <c r="E91" s="24"/>
      <c r="F91" s="24"/>
      <c r="G91" s="24"/>
      <c r="H91" s="24"/>
      <c r="I91" s="24"/>
      <c r="J91" s="24"/>
      <c r="K91" s="26"/>
      <c r="L91" s="26"/>
      <c r="M91" s="26"/>
      <c r="N91" s="79"/>
      <c r="O91" s="22"/>
      <c r="P91" s="22"/>
      <c r="Q91" s="91"/>
      <c r="R91" s="88"/>
    </row>
    <row r="92" spans="1:18" s="18" customFormat="1" x14ac:dyDescent="0.2">
      <c r="A92" s="23"/>
      <c r="B92" s="97"/>
      <c r="C92" s="97"/>
      <c r="D92" s="24"/>
      <c r="E92" s="24"/>
      <c r="F92" s="24"/>
      <c r="G92" s="24"/>
      <c r="H92" s="24"/>
      <c r="I92" s="24"/>
      <c r="J92" s="24"/>
      <c r="K92" s="26"/>
      <c r="L92" s="26"/>
      <c r="M92" s="26"/>
      <c r="N92" s="79"/>
      <c r="O92" s="22"/>
      <c r="P92" s="22"/>
      <c r="Q92" s="91"/>
      <c r="R92" s="88"/>
    </row>
    <row r="93" spans="1:18" s="18" customFormat="1" x14ac:dyDescent="0.2">
      <c r="A93" s="23"/>
      <c r="B93" s="97"/>
      <c r="C93" s="97"/>
      <c r="D93" s="24"/>
      <c r="E93" s="24"/>
      <c r="F93" s="24"/>
      <c r="G93" s="24"/>
      <c r="H93" s="24"/>
      <c r="I93" s="24"/>
      <c r="J93" s="24"/>
      <c r="K93" s="26"/>
      <c r="L93" s="26"/>
      <c r="M93" s="26"/>
      <c r="N93" s="79"/>
      <c r="O93" s="22"/>
      <c r="P93" s="22"/>
      <c r="Q93" s="91"/>
      <c r="R93" s="88"/>
    </row>
    <row r="94" spans="1:18" s="18" customFormat="1" x14ac:dyDescent="0.2">
      <c r="A94" s="23"/>
      <c r="B94" s="97"/>
      <c r="C94" s="97"/>
      <c r="D94" s="24"/>
      <c r="E94" s="24"/>
      <c r="F94" s="24"/>
      <c r="G94" s="24"/>
      <c r="H94" s="24"/>
      <c r="I94" s="24"/>
      <c r="J94" s="24"/>
      <c r="K94" s="26"/>
      <c r="L94" s="26"/>
      <c r="M94" s="26"/>
      <c r="N94" s="79"/>
      <c r="O94" s="22"/>
      <c r="P94" s="22"/>
      <c r="Q94" s="91"/>
      <c r="R94" s="88"/>
    </row>
    <row r="95" spans="1:18" s="18" customFormat="1" x14ac:dyDescent="0.2">
      <c r="A95" s="23"/>
      <c r="B95" s="97"/>
      <c r="C95" s="97"/>
      <c r="D95" s="24"/>
      <c r="E95" s="24"/>
      <c r="F95" s="24"/>
      <c r="G95" s="24"/>
      <c r="H95" s="24"/>
      <c r="I95" s="24"/>
      <c r="J95" s="24"/>
      <c r="K95" s="26"/>
      <c r="L95" s="26"/>
      <c r="M95" s="26"/>
      <c r="N95" s="79"/>
      <c r="O95" s="22"/>
      <c r="P95" s="22"/>
      <c r="Q95" s="91"/>
      <c r="R95" s="88"/>
    </row>
    <row r="96" spans="1:18" s="18" customFormat="1" x14ac:dyDescent="0.2">
      <c r="A96" s="23"/>
      <c r="B96" s="97"/>
      <c r="C96" s="97"/>
      <c r="D96" s="24"/>
      <c r="E96" s="24"/>
      <c r="F96" s="24"/>
      <c r="G96" s="24"/>
      <c r="H96" s="24"/>
      <c r="I96" s="24"/>
      <c r="J96" s="24"/>
      <c r="K96" s="26"/>
      <c r="L96" s="26"/>
      <c r="M96" s="26"/>
      <c r="N96" s="79"/>
      <c r="O96" s="22"/>
      <c r="P96" s="22"/>
      <c r="Q96" s="91"/>
      <c r="R96" s="88"/>
    </row>
    <row r="97" spans="1:18" s="18" customFormat="1" x14ac:dyDescent="0.2">
      <c r="A97" s="23"/>
      <c r="B97" s="97"/>
      <c r="C97" s="97"/>
      <c r="D97" s="24"/>
      <c r="E97" s="24"/>
      <c r="F97" s="24"/>
      <c r="G97" s="24"/>
      <c r="H97" s="24"/>
      <c r="I97" s="24"/>
      <c r="J97" s="24"/>
      <c r="K97" s="26"/>
      <c r="L97" s="26"/>
      <c r="M97" s="26"/>
      <c r="N97" s="79"/>
      <c r="O97" s="22"/>
      <c r="P97" s="22"/>
      <c r="Q97" s="91"/>
      <c r="R97" s="88"/>
    </row>
    <row r="98" spans="1:18" s="18" customFormat="1" x14ac:dyDescent="0.2">
      <c r="A98" s="23"/>
      <c r="B98" s="97"/>
      <c r="C98" s="97"/>
      <c r="D98" s="24"/>
      <c r="E98" s="24"/>
      <c r="F98" s="24"/>
      <c r="G98" s="24"/>
      <c r="H98" s="24"/>
      <c r="I98" s="24"/>
      <c r="J98" s="24"/>
      <c r="K98" s="26"/>
      <c r="L98" s="26"/>
      <c r="M98" s="26"/>
      <c r="N98" s="79"/>
      <c r="O98" s="22"/>
      <c r="P98" s="22"/>
      <c r="Q98" s="91"/>
      <c r="R98" s="88"/>
    </row>
    <row r="99" spans="1:18" s="18" customFormat="1" x14ac:dyDescent="0.2">
      <c r="A99" s="23"/>
      <c r="B99" s="97"/>
      <c r="C99" s="97"/>
      <c r="D99" s="24"/>
      <c r="E99" s="24"/>
      <c r="F99" s="24"/>
      <c r="G99" s="24"/>
      <c r="H99" s="24"/>
      <c r="I99" s="24"/>
      <c r="J99" s="24"/>
      <c r="K99" s="26"/>
      <c r="L99" s="26"/>
      <c r="M99" s="26"/>
      <c r="N99" s="79"/>
      <c r="O99" s="22"/>
      <c r="P99" s="22"/>
      <c r="Q99" s="91"/>
      <c r="R99" s="88"/>
    </row>
    <row r="100" spans="1:18" s="18" customFormat="1" x14ac:dyDescent="0.2">
      <c r="A100" s="23"/>
      <c r="B100" s="97"/>
      <c r="C100" s="97"/>
      <c r="D100" s="24"/>
      <c r="E100" s="24"/>
      <c r="F100" s="24"/>
      <c r="G100" s="24"/>
      <c r="H100" s="24"/>
      <c r="I100" s="24"/>
      <c r="J100" s="24"/>
      <c r="K100" s="26"/>
      <c r="L100" s="26"/>
      <c r="M100" s="26"/>
      <c r="N100" s="79"/>
      <c r="O100" s="22"/>
      <c r="P100" s="22"/>
      <c r="Q100" s="91"/>
      <c r="R100" s="88"/>
    </row>
    <row r="101" spans="1:18" s="18" customFormat="1" x14ac:dyDescent="0.2">
      <c r="A101" s="23"/>
      <c r="B101" s="97"/>
      <c r="C101" s="97"/>
      <c r="D101" s="24"/>
      <c r="E101" s="24"/>
      <c r="F101" s="24"/>
      <c r="G101" s="24"/>
      <c r="H101" s="24"/>
      <c r="I101" s="24"/>
      <c r="J101" s="24"/>
      <c r="K101" s="26"/>
      <c r="L101" s="26"/>
      <c r="M101" s="26"/>
      <c r="N101" s="79"/>
      <c r="O101" s="26"/>
      <c r="P101" s="26"/>
      <c r="Q101" s="91"/>
      <c r="R101" s="88"/>
    </row>
    <row r="102" spans="1:18" s="18" customFormat="1" x14ac:dyDescent="0.2">
      <c r="A102" s="23"/>
      <c r="B102" s="97"/>
      <c r="C102" s="97"/>
      <c r="D102" s="24"/>
      <c r="E102" s="24"/>
      <c r="F102" s="24"/>
      <c r="G102" s="24"/>
      <c r="H102" s="24"/>
      <c r="I102" s="24"/>
      <c r="J102" s="24"/>
      <c r="K102" s="26"/>
      <c r="L102" s="26"/>
      <c r="M102" s="26"/>
      <c r="N102" s="79"/>
      <c r="O102" s="22"/>
      <c r="P102" s="22"/>
      <c r="Q102" s="91"/>
      <c r="R102" s="88"/>
    </row>
    <row r="103" spans="1:18" s="18" customFormat="1" x14ac:dyDescent="0.2">
      <c r="A103" s="23"/>
      <c r="B103" s="97"/>
      <c r="C103" s="97"/>
      <c r="D103" s="24"/>
      <c r="E103" s="24"/>
      <c r="F103" s="24"/>
      <c r="G103" s="24"/>
      <c r="H103" s="24"/>
      <c r="I103" s="24"/>
      <c r="J103" s="24"/>
      <c r="K103" s="26"/>
      <c r="L103" s="26"/>
      <c r="M103" s="26"/>
      <c r="N103" s="79"/>
      <c r="O103" s="22"/>
      <c r="P103" s="22"/>
      <c r="Q103" s="91"/>
      <c r="R103" s="88"/>
    </row>
    <row r="104" spans="1:18" s="18" customFormat="1" x14ac:dyDescent="0.2">
      <c r="A104" s="23"/>
      <c r="B104" s="97"/>
      <c r="C104" s="97"/>
      <c r="D104" s="24"/>
      <c r="E104" s="24"/>
      <c r="F104" s="24"/>
      <c r="G104" s="24"/>
      <c r="H104" s="24"/>
      <c r="I104" s="24"/>
      <c r="J104" s="24"/>
      <c r="K104" s="26"/>
      <c r="L104" s="26"/>
      <c r="M104" s="26"/>
      <c r="N104" s="79"/>
      <c r="O104" s="22"/>
      <c r="P104" s="22"/>
      <c r="Q104" s="91"/>
      <c r="R104" s="88"/>
    </row>
    <row r="105" spans="1:18" s="18" customFormat="1" x14ac:dyDescent="0.2">
      <c r="A105" s="23"/>
      <c r="B105" s="97"/>
      <c r="C105" s="97"/>
      <c r="D105" s="24"/>
      <c r="E105" s="24"/>
      <c r="F105" s="24"/>
      <c r="G105" s="24"/>
      <c r="H105" s="24"/>
      <c r="I105" s="24"/>
      <c r="J105" s="24"/>
      <c r="K105" s="26"/>
      <c r="L105" s="26"/>
      <c r="M105" s="26"/>
      <c r="N105" s="79"/>
      <c r="O105" s="22"/>
      <c r="P105" s="22"/>
      <c r="Q105" s="91"/>
      <c r="R105" s="88"/>
    </row>
    <row r="106" spans="1:18" s="18" customFormat="1" x14ac:dyDescent="0.2">
      <c r="A106" s="23"/>
      <c r="B106" s="97"/>
      <c r="C106" s="97"/>
      <c r="D106" s="24"/>
      <c r="E106" s="24"/>
      <c r="F106" s="24"/>
      <c r="G106" s="24"/>
      <c r="H106" s="24"/>
      <c r="I106" s="24"/>
      <c r="J106" s="24"/>
      <c r="K106" s="36"/>
      <c r="L106" s="26"/>
      <c r="M106" s="26"/>
      <c r="N106" s="80"/>
      <c r="O106" s="81"/>
      <c r="P106" s="81"/>
      <c r="Q106" s="92"/>
      <c r="R106" s="89"/>
    </row>
    <row r="107" spans="1:18" s="18" customFormat="1" x14ac:dyDescent="0.2">
      <c r="A107" s="23"/>
      <c r="B107" s="97"/>
      <c r="C107" s="97"/>
      <c r="D107" s="24"/>
      <c r="E107" s="24"/>
      <c r="F107" s="24"/>
      <c r="G107" s="24"/>
      <c r="H107" s="24"/>
      <c r="I107" s="24"/>
      <c r="J107" s="24"/>
      <c r="K107" s="36"/>
      <c r="L107" s="26"/>
      <c r="M107" s="26"/>
      <c r="N107" s="79"/>
      <c r="O107" s="26"/>
      <c r="P107" s="26"/>
      <c r="Q107" s="91"/>
      <c r="R107" s="88"/>
    </row>
    <row r="108" spans="1:18" s="18" customFormat="1" x14ac:dyDescent="0.2">
      <c r="A108" s="23"/>
      <c r="B108" s="97"/>
      <c r="C108" s="97"/>
      <c r="D108" s="24"/>
      <c r="E108" s="24"/>
      <c r="F108" s="24"/>
      <c r="G108" s="24"/>
      <c r="H108" s="24"/>
      <c r="I108" s="24"/>
      <c r="J108" s="24"/>
      <c r="K108" s="26"/>
      <c r="L108" s="26"/>
      <c r="M108" s="26"/>
      <c r="N108" s="79"/>
      <c r="O108" s="22"/>
      <c r="P108" s="22"/>
      <c r="Q108" s="91"/>
      <c r="R108" s="88"/>
    </row>
    <row r="109" spans="1:18" s="18" customFormat="1" ht="250.5" customHeight="1" x14ac:dyDescent="0.2">
      <c r="A109" s="23"/>
      <c r="B109" s="97"/>
      <c r="C109" s="97"/>
      <c r="D109" s="24"/>
      <c r="E109" s="24"/>
      <c r="F109" s="24"/>
      <c r="G109" s="24"/>
      <c r="H109" s="24"/>
      <c r="I109" s="24"/>
      <c r="J109" s="24"/>
      <c r="K109" s="26"/>
      <c r="L109" s="26"/>
      <c r="M109" s="26"/>
      <c r="N109" s="79"/>
      <c r="O109" s="22"/>
      <c r="P109" s="22"/>
      <c r="Q109" s="91"/>
      <c r="R109" s="88"/>
    </row>
    <row r="110" spans="1:18" s="18" customFormat="1" ht="225" customHeight="1" x14ac:dyDescent="0.2">
      <c r="A110" s="23"/>
      <c r="B110" s="97"/>
      <c r="C110" s="97"/>
      <c r="D110" s="24"/>
      <c r="E110" s="24"/>
      <c r="F110" s="24"/>
      <c r="G110" s="24"/>
      <c r="H110" s="24"/>
      <c r="I110" s="24"/>
      <c r="J110" s="24"/>
      <c r="K110" s="36"/>
      <c r="L110" s="26"/>
      <c r="M110" s="26"/>
      <c r="N110" s="79"/>
      <c r="O110" s="81"/>
      <c r="P110" s="81"/>
      <c r="Q110" s="92"/>
      <c r="R110" s="89"/>
    </row>
    <row r="111" spans="1:18" s="18" customFormat="1" x14ac:dyDescent="0.2">
      <c r="A111" s="23"/>
      <c r="B111" s="97"/>
      <c r="C111" s="97"/>
      <c r="D111" s="24"/>
      <c r="E111" s="24"/>
      <c r="F111" s="24"/>
      <c r="G111" s="24"/>
      <c r="H111" s="24"/>
      <c r="I111" s="24"/>
      <c r="J111" s="24"/>
      <c r="K111" s="26"/>
      <c r="L111" s="26"/>
      <c r="M111" s="26"/>
      <c r="N111" s="79"/>
      <c r="O111" s="22"/>
      <c r="P111" s="22"/>
      <c r="Q111" s="91"/>
      <c r="R111" s="88"/>
    </row>
    <row r="112" spans="1:18" s="18" customFormat="1" x14ac:dyDescent="0.2">
      <c r="A112" s="23"/>
      <c r="B112" s="97"/>
      <c r="C112" s="97"/>
      <c r="D112" s="24"/>
      <c r="E112" s="24"/>
      <c r="F112" s="24"/>
      <c r="G112" s="24"/>
      <c r="H112" s="24"/>
      <c r="I112" s="24"/>
      <c r="J112" s="24"/>
      <c r="K112" s="26"/>
      <c r="L112" s="26"/>
      <c r="M112" s="26"/>
      <c r="N112" s="79"/>
      <c r="O112" s="22"/>
      <c r="P112" s="22"/>
      <c r="Q112" s="91"/>
      <c r="R112" s="88"/>
    </row>
    <row r="113" spans="1:18" s="18" customFormat="1" ht="15" customHeight="1" x14ac:dyDescent="0.2">
      <c r="A113" s="23"/>
      <c r="B113" s="97"/>
      <c r="C113" s="97"/>
      <c r="D113" s="24"/>
      <c r="E113" s="24"/>
      <c r="F113" s="24"/>
      <c r="G113" s="24"/>
      <c r="H113" s="24"/>
      <c r="I113" s="24"/>
      <c r="J113" s="24"/>
      <c r="K113" s="26"/>
      <c r="L113" s="26"/>
      <c r="M113" s="26"/>
      <c r="N113" s="79"/>
      <c r="O113" s="22"/>
      <c r="P113" s="22"/>
      <c r="Q113" s="91"/>
      <c r="R113" s="88"/>
    </row>
    <row r="114" spans="1:18" s="18" customFormat="1" ht="15" customHeight="1" x14ac:dyDescent="0.2">
      <c r="A114" s="23"/>
      <c r="B114" s="97"/>
      <c r="C114" s="97"/>
      <c r="D114" s="24"/>
      <c r="E114" s="24"/>
      <c r="F114" s="24"/>
      <c r="G114" s="24"/>
      <c r="H114" s="24"/>
      <c r="I114" s="24"/>
      <c r="J114" s="24"/>
      <c r="K114" s="26"/>
      <c r="L114" s="26"/>
      <c r="M114" s="26"/>
      <c r="N114" s="79"/>
      <c r="O114" s="22"/>
      <c r="P114" s="22"/>
      <c r="Q114" s="91"/>
      <c r="R114" s="88"/>
    </row>
    <row r="115" spans="1:18" s="18" customFormat="1" ht="15" customHeight="1" x14ac:dyDescent="0.2">
      <c r="A115" s="23"/>
      <c r="B115" s="97"/>
      <c r="C115" s="97"/>
      <c r="D115" s="24"/>
      <c r="E115" s="24"/>
      <c r="F115" s="24"/>
      <c r="G115" s="24"/>
      <c r="H115" s="24"/>
      <c r="I115" s="24"/>
      <c r="J115" s="24"/>
      <c r="K115" s="26"/>
      <c r="L115" s="26"/>
      <c r="M115" s="26"/>
      <c r="N115" s="79"/>
      <c r="O115" s="22"/>
      <c r="P115" s="22"/>
      <c r="Q115" s="91"/>
      <c r="R115" s="88"/>
    </row>
    <row r="116" spans="1:18" s="18" customFormat="1" ht="15" customHeight="1" x14ac:dyDescent="0.2">
      <c r="A116" s="23"/>
      <c r="B116" s="97"/>
      <c r="C116" s="97"/>
      <c r="D116" s="24"/>
      <c r="E116" s="24"/>
      <c r="F116" s="24"/>
      <c r="G116" s="24"/>
      <c r="H116" s="24"/>
      <c r="I116" s="24"/>
      <c r="J116" s="24"/>
      <c r="K116" s="26"/>
      <c r="L116" s="26"/>
      <c r="M116" s="26"/>
      <c r="N116" s="79"/>
      <c r="O116" s="22"/>
      <c r="P116" s="22"/>
      <c r="Q116" s="91"/>
      <c r="R116" s="88"/>
    </row>
    <row r="117" spans="1:18" s="18" customFormat="1" ht="15" customHeight="1" x14ac:dyDescent="0.2">
      <c r="A117" s="23"/>
      <c r="B117" s="97"/>
      <c r="C117" s="97"/>
      <c r="D117" s="24"/>
      <c r="E117" s="24"/>
      <c r="F117" s="24"/>
      <c r="G117" s="24"/>
      <c r="H117" s="24"/>
      <c r="I117" s="24"/>
      <c r="J117" s="24"/>
      <c r="K117" s="26"/>
      <c r="L117" s="26"/>
      <c r="M117" s="26"/>
      <c r="N117" s="79"/>
      <c r="O117" s="22"/>
      <c r="P117" s="22"/>
      <c r="Q117" s="91"/>
      <c r="R117" s="88"/>
    </row>
    <row r="118" spans="1:18" s="18" customFormat="1" ht="15" customHeight="1" x14ac:dyDescent="0.2">
      <c r="A118" s="23"/>
      <c r="B118" s="97"/>
      <c r="C118" s="97"/>
      <c r="D118" s="24"/>
      <c r="E118" s="24"/>
      <c r="F118" s="24"/>
      <c r="G118" s="24"/>
      <c r="H118" s="24"/>
      <c r="I118" s="24"/>
      <c r="J118" s="24"/>
      <c r="K118" s="26"/>
      <c r="L118" s="26"/>
      <c r="M118" s="26"/>
      <c r="N118" s="79"/>
      <c r="O118" s="22"/>
      <c r="P118" s="22"/>
      <c r="Q118" s="91"/>
      <c r="R118" s="88"/>
    </row>
    <row r="119" spans="1:18" s="18" customFormat="1" ht="90" customHeight="1" x14ac:dyDescent="0.2">
      <c r="A119" s="23"/>
      <c r="B119" s="97"/>
      <c r="C119" s="97"/>
      <c r="D119" s="24"/>
      <c r="E119" s="24"/>
      <c r="F119" s="24"/>
      <c r="G119" s="24"/>
      <c r="H119" s="24"/>
      <c r="I119" s="24"/>
      <c r="J119" s="24"/>
      <c r="K119" s="26"/>
      <c r="L119" s="26"/>
      <c r="M119" s="26"/>
      <c r="N119" s="79"/>
      <c r="O119" s="22"/>
      <c r="P119" s="22"/>
      <c r="Q119" s="91"/>
      <c r="R119" s="88"/>
    </row>
    <row r="120" spans="1:18" s="18" customFormat="1" ht="90" customHeight="1" x14ac:dyDescent="0.2">
      <c r="A120" s="23"/>
      <c r="B120" s="97"/>
      <c r="C120" s="97"/>
      <c r="D120" s="24"/>
      <c r="E120" s="24"/>
      <c r="F120" s="24"/>
      <c r="G120" s="24"/>
      <c r="H120" s="24"/>
      <c r="I120" s="24"/>
      <c r="J120" s="24"/>
      <c r="K120" s="26"/>
      <c r="L120" s="26"/>
      <c r="M120" s="26"/>
      <c r="N120" s="79"/>
      <c r="O120" s="22"/>
      <c r="P120" s="22"/>
      <c r="Q120" s="91"/>
      <c r="R120" s="88"/>
    </row>
    <row r="121" spans="1:18" s="18" customFormat="1" ht="90" customHeight="1" x14ac:dyDescent="0.2">
      <c r="A121" s="23"/>
      <c r="B121" s="97"/>
      <c r="C121" s="97"/>
      <c r="D121" s="24"/>
      <c r="E121" s="24"/>
      <c r="F121" s="24"/>
      <c r="G121" s="24"/>
      <c r="H121" s="24"/>
      <c r="I121" s="24"/>
      <c r="J121" s="24"/>
      <c r="K121" s="26"/>
      <c r="L121" s="26"/>
      <c r="M121" s="26"/>
      <c r="N121" s="79"/>
      <c r="O121" s="22"/>
      <c r="P121" s="22"/>
      <c r="Q121" s="91"/>
      <c r="R121" s="88"/>
    </row>
    <row r="122" spans="1:18" s="18" customFormat="1" x14ac:dyDescent="0.2">
      <c r="A122" s="23"/>
      <c r="B122" s="97"/>
      <c r="C122" s="97"/>
      <c r="D122" s="24"/>
      <c r="E122" s="24"/>
      <c r="F122" s="24"/>
      <c r="G122" s="24"/>
      <c r="H122" s="24"/>
      <c r="I122" s="24"/>
      <c r="J122" s="24"/>
      <c r="K122" s="26"/>
      <c r="L122" s="26"/>
      <c r="M122" s="26"/>
      <c r="N122" s="79"/>
      <c r="O122" s="22"/>
      <c r="P122" s="22"/>
      <c r="Q122" s="91"/>
      <c r="R122" s="88"/>
    </row>
    <row r="123" spans="1:18" s="18" customFormat="1" x14ac:dyDescent="0.2">
      <c r="A123" s="23"/>
      <c r="B123" s="97"/>
      <c r="C123" s="97"/>
      <c r="D123" s="24"/>
      <c r="E123" s="24"/>
      <c r="F123" s="24"/>
      <c r="G123" s="24"/>
      <c r="H123" s="24"/>
      <c r="I123" s="24"/>
      <c r="J123" s="24"/>
      <c r="K123" s="26"/>
      <c r="L123" s="26"/>
      <c r="M123" s="26"/>
      <c r="N123" s="79"/>
      <c r="O123" s="22"/>
      <c r="P123" s="22"/>
      <c r="Q123" s="91"/>
      <c r="R123" s="88"/>
    </row>
    <row r="124" spans="1:18" s="18" customFormat="1" x14ac:dyDescent="0.2">
      <c r="A124" s="23"/>
      <c r="B124" s="97"/>
      <c r="C124" s="97"/>
      <c r="D124" s="24"/>
      <c r="E124" s="24"/>
      <c r="F124" s="24"/>
      <c r="G124" s="24"/>
      <c r="H124" s="24"/>
      <c r="I124" s="24"/>
      <c r="J124" s="24"/>
      <c r="K124" s="26"/>
      <c r="L124" s="26"/>
      <c r="M124" s="26"/>
      <c r="N124" s="79"/>
      <c r="O124" s="22"/>
      <c r="P124" s="22"/>
      <c r="Q124" s="91"/>
      <c r="R124" s="88"/>
    </row>
    <row r="125" spans="1:18" s="18" customFormat="1" x14ac:dyDescent="0.2">
      <c r="A125" s="23"/>
      <c r="B125" s="97"/>
      <c r="C125" s="97"/>
      <c r="D125" s="24"/>
      <c r="E125" s="24"/>
      <c r="F125" s="24"/>
      <c r="G125" s="24"/>
      <c r="H125" s="24"/>
      <c r="I125" s="24"/>
      <c r="J125" s="24"/>
      <c r="K125" s="26"/>
      <c r="L125" s="26"/>
      <c r="M125" s="26"/>
      <c r="N125" s="79"/>
      <c r="O125" s="22"/>
      <c r="P125" s="22"/>
      <c r="Q125" s="91"/>
      <c r="R125" s="88"/>
    </row>
    <row r="126" spans="1:18" s="18" customFormat="1" x14ac:dyDescent="0.2">
      <c r="A126" s="23"/>
      <c r="B126" s="97"/>
      <c r="C126" s="97"/>
      <c r="D126" s="24"/>
      <c r="E126" s="24"/>
      <c r="F126" s="24"/>
      <c r="G126" s="24"/>
      <c r="H126" s="24"/>
      <c r="I126" s="24"/>
      <c r="J126" s="24"/>
      <c r="K126" s="26"/>
      <c r="L126" s="26"/>
      <c r="M126" s="26"/>
      <c r="N126" s="79"/>
      <c r="O126" s="22"/>
      <c r="P126" s="22"/>
      <c r="Q126" s="91"/>
      <c r="R126" s="88"/>
    </row>
    <row r="127" spans="1:18" s="18" customFormat="1" x14ac:dyDescent="0.2">
      <c r="A127" s="23"/>
      <c r="B127" s="97"/>
      <c r="C127" s="97"/>
      <c r="D127" s="24"/>
      <c r="E127" s="24"/>
      <c r="F127" s="24"/>
      <c r="G127" s="24"/>
      <c r="H127" s="24"/>
      <c r="I127" s="24"/>
      <c r="J127" s="24"/>
      <c r="K127" s="26"/>
      <c r="L127" s="26"/>
      <c r="M127" s="26"/>
      <c r="N127" s="79"/>
      <c r="O127" s="22"/>
      <c r="P127" s="22"/>
      <c r="Q127" s="91"/>
      <c r="R127" s="88"/>
    </row>
    <row r="128" spans="1:18" s="18" customFormat="1" x14ac:dyDescent="0.2">
      <c r="A128" s="23"/>
      <c r="B128" s="97"/>
      <c r="C128" s="97"/>
      <c r="D128" s="24"/>
      <c r="E128" s="24"/>
      <c r="F128" s="24"/>
      <c r="G128" s="24"/>
      <c r="H128" s="24"/>
      <c r="I128" s="24"/>
      <c r="J128" s="24"/>
      <c r="K128" s="26"/>
      <c r="L128" s="26"/>
      <c r="M128" s="26"/>
      <c r="N128" s="79"/>
      <c r="O128" s="22"/>
      <c r="P128" s="22"/>
      <c r="Q128" s="91"/>
      <c r="R128" s="88"/>
    </row>
    <row r="129" spans="1:18" s="18" customFormat="1" x14ac:dyDescent="0.2">
      <c r="A129" s="23"/>
      <c r="B129" s="97"/>
      <c r="C129" s="97"/>
      <c r="D129" s="24"/>
      <c r="E129" s="24"/>
      <c r="F129" s="24"/>
      <c r="G129" s="24"/>
      <c r="H129" s="24"/>
      <c r="I129" s="24"/>
      <c r="J129" s="24"/>
      <c r="K129" s="36"/>
      <c r="L129" s="36"/>
      <c r="M129" s="26"/>
      <c r="N129" s="80"/>
      <c r="O129" s="81"/>
      <c r="P129" s="81"/>
      <c r="Q129" s="92"/>
      <c r="R129" s="89"/>
    </row>
    <row r="130" spans="1:18" s="18" customFormat="1" x14ac:dyDescent="0.2">
      <c r="A130" s="23"/>
      <c r="B130" s="97"/>
      <c r="C130" s="97"/>
      <c r="D130" s="24"/>
      <c r="E130" s="24"/>
      <c r="F130" s="24"/>
      <c r="G130" s="24"/>
      <c r="H130" s="24"/>
      <c r="I130" s="24"/>
      <c r="J130" s="24"/>
      <c r="K130" s="26"/>
      <c r="L130" s="26"/>
      <c r="M130" s="26"/>
      <c r="N130" s="79"/>
      <c r="O130" s="22"/>
      <c r="P130" s="22"/>
      <c r="Q130" s="91"/>
      <c r="R130" s="88"/>
    </row>
    <row r="131" spans="1:18" s="18" customFormat="1" x14ac:dyDescent="0.2">
      <c r="A131" s="23"/>
      <c r="B131" s="97"/>
      <c r="C131" s="97"/>
      <c r="D131" s="24"/>
      <c r="E131" s="24"/>
      <c r="F131" s="24"/>
      <c r="G131" s="24"/>
      <c r="H131" s="24"/>
      <c r="I131" s="24"/>
      <c r="J131" s="24"/>
      <c r="K131" s="26"/>
      <c r="L131" s="26"/>
      <c r="M131" s="26"/>
      <c r="N131" s="79"/>
      <c r="O131" s="22"/>
      <c r="P131" s="22"/>
      <c r="Q131" s="91"/>
      <c r="R131" s="88"/>
    </row>
    <row r="132" spans="1:18" s="18" customFormat="1" x14ac:dyDescent="0.2">
      <c r="A132" s="23"/>
      <c r="B132" s="97"/>
      <c r="C132" s="97"/>
      <c r="D132" s="24"/>
      <c r="E132" s="24"/>
      <c r="F132" s="24"/>
      <c r="G132" s="24"/>
      <c r="H132" s="24"/>
      <c r="I132" s="24"/>
      <c r="J132" s="24"/>
      <c r="K132" s="26"/>
      <c r="L132" s="26"/>
      <c r="M132" s="26"/>
      <c r="N132" s="79"/>
      <c r="O132" s="22"/>
      <c r="P132" s="22"/>
      <c r="Q132" s="91"/>
      <c r="R132" s="88"/>
    </row>
    <row r="133" spans="1:18" s="18" customFormat="1" x14ac:dyDescent="0.2">
      <c r="A133" s="23"/>
      <c r="B133" s="97"/>
      <c r="C133" s="97"/>
      <c r="D133" s="24"/>
      <c r="E133" s="24"/>
      <c r="F133" s="24"/>
      <c r="G133" s="24"/>
      <c r="H133" s="24"/>
      <c r="I133" s="24"/>
      <c r="J133" s="24"/>
      <c r="K133" s="26"/>
      <c r="L133" s="26"/>
      <c r="M133" s="26"/>
      <c r="N133" s="79"/>
      <c r="O133" s="22"/>
      <c r="P133" s="22"/>
      <c r="Q133" s="91"/>
      <c r="R133" s="88"/>
    </row>
    <row r="134" spans="1:18" s="18" customFormat="1" x14ac:dyDescent="0.2">
      <c r="A134" s="23"/>
      <c r="B134" s="97"/>
      <c r="C134" s="97"/>
      <c r="D134" s="24"/>
      <c r="E134" s="24"/>
      <c r="F134" s="24"/>
      <c r="G134" s="24"/>
      <c r="H134" s="24"/>
      <c r="I134" s="24"/>
      <c r="J134" s="24"/>
      <c r="K134" s="26"/>
      <c r="L134" s="26"/>
      <c r="M134" s="26"/>
      <c r="N134" s="79"/>
      <c r="O134" s="22"/>
      <c r="P134" s="22"/>
      <c r="Q134" s="91"/>
      <c r="R134" s="88"/>
    </row>
    <row r="135" spans="1:18" s="18" customFormat="1" x14ac:dyDescent="0.2">
      <c r="A135" s="23"/>
      <c r="B135" s="97"/>
      <c r="C135" s="97"/>
      <c r="D135" s="24"/>
      <c r="E135" s="24"/>
      <c r="F135" s="24"/>
      <c r="G135" s="24"/>
      <c r="H135" s="24"/>
      <c r="I135" s="24"/>
      <c r="J135" s="24"/>
      <c r="K135" s="26"/>
      <c r="L135" s="26"/>
      <c r="M135" s="26"/>
      <c r="N135" s="79"/>
      <c r="O135" s="22"/>
      <c r="P135" s="22"/>
      <c r="Q135" s="91"/>
      <c r="R135" s="88"/>
    </row>
    <row r="136" spans="1:18" s="18" customFormat="1" x14ac:dyDescent="0.2">
      <c r="A136" s="23"/>
      <c r="B136" s="97"/>
      <c r="C136" s="97"/>
      <c r="D136" s="24"/>
      <c r="E136" s="24"/>
      <c r="F136" s="24"/>
      <c r="G136" s="24"/>
      <c r="H136" s="24"/>
      <c r="I136" s="24"/>
      <c r="J136" s="24"/>
      <c r="K136" s="26"/>
      <c r="L136" s="26"/>
      <c r="M136" s="26"/>
      <c r="N136" s="79"/>
      <c r="O136" s="22"/>
      <c r="P136" s="22"/>
      <c r="Q136" s="91"/>
      <c r="R136" s="88"/>
    </row>
    <row r="137" spans="1:18" s="18" customFormat="1" x14ac:dyDescent="0.2">
      <c r="A137" s="23"/>
      <c r="B137" s="97"/>
      <c r="C137" s="97"/>
      <c r="D137" s="24"/>
      <c r="E137" s="24"/>
      <c r="F137" s="24"/>
      <c r="G137" s="24"/>
      <c r="H137" s="24"/>
      <c r="I137" s="24"/>
      <c r="J137" s="24"/>
      <c r="K137" s="26"/>
      <c r="L137" s="26"/>
      <c r="M137" s="26"/>
      <c r="N137" s="79"/>
      <c r="O137" s="22"/>
      <c r="P137" s="22"/>
      <c r="Q137" s="91"/>
      <c r="R137" s="88"/>
    </row>
    <row r="138" spans="1:18" s="18" customFormat="1" x14ac:dyDescent="0.2">
      <c r="A138" s="23"/>
      <c r="B138" s="97"/>
      <c r="C138" s="97"/>
      <c r="D138" s="24"/>
      <c r="E138" s="24"/>
      <c r="F138" s="24"/>
      <c r="G138" s="24"/>
      <c r="H138" s="24"/>
      <c r="I138" s="24"/>
      <c r="J138" s="24"/>
      <c r="K138" s="26"/>
      <c r="L138" s="26"/>
      <c r="M138" s="26"/>
      <c r="N138" s="79"/>
      <c r="O138" s="22"/>
      <c r="P138" s="22"/>
      <c r="Q138" s="91"/>
      <c r="R138" s="88"/>
    </row>
    <row r="139" spans="1:18" s="18" customFormat="1" x14ac:dyDescent="0.2">
      <c r="A139" s="23"/>
      <c r="B139" s="97"/>
      <c r="C139" s="97"/>
      <c r="D139" s="24"/>
      <c r="E139" s="24"/>
      <c r="F139" s="24"/>
      <c r="G139" s="24"/>
      <c r="H139" s="24"/>
      <c r="I139" s="24"/>
      <c r="J139" s="24"/>
      <c r="K139" s="26"/>
      <c r="L139" s="26"/>
      <c r="M139" s="26"/>
      <c r="N139" s="79"/>
      <c r="O139" s="22"/>
      <c r="P139" s="22"/>
      <c r="Q139" s="91"/>
      <c r="R139" s="88"/>
    </row>
    <row r="140" spans="1:18" s="18" customFormat="1" x14ac:dyDescent="0.2">
      <c r="A140" s="23"/>
      <c r="B140" s="97"/>
      <c r="C140" s="97"/>
      <c r="D140" s="24"/>
      <c r="E140" s="24"/>
      <c r="F140" s="24"/>
      <c r="G140" s="24"/>
      <c r="H140" s="24"/>
      <c r="I140" s="24"/>
      <c r="J140" s="24"/>
      <c r="K140" s="26"/>
      <c r="L140" s="26"/>
      <c r="M140" s="26"/>
      <c r="N140" s="79"/>
      <c r="O140" s="22"/>
      <c r="P140" s="22"/>
      <c r="Q140" s="91"/>
      <c r="R140" s="88"/>
    </row>
    <row r="141" spans="1:18" s="18" customFormat="1" x14ac:dyDescent="0.2">
      <c r="A141" s="23"/>
      <c r="B141" s="97"/>
      <c r="C141" s="97"/>
      <c r="D141" s="24"/>
      <c r="E141" s="24"/>
      <c r="F141" s="24"/>
      <c r="G141" s="24"/>
      <c r="H141" s="24"/>
      <c r="I141" s="24"/>
      <c r="J141" s="24"/>
      <c r="K141" s="26"/>
      <c r="L141" s="26"/>
      <c r="M141" s="26"/>
      <c r="N141" s="79"/>
      <c r="O141" s="22"/>
      <c r="P141" s="22"/>
      <c r="Q141" s="91"/>
      <c r="R141" s="88"/>
    </row>
    <row r="142" spans="1:18" s="18" customFormat="1" x14ac:dyDescent="0.2">
      <c r="A142" s="23"/>
      <c r="B142" s="97"/>
      <c r="C142" s="97"/>
      <c r="D142" s="24"/>
      <c r="E142" s="24"/>
      <c r="F142" s="24"/>
      <c r="G142" s="24"/>
      <c r="H142" s="24"/>
      <c r="I142" s="24"/>
      <c r="J142" s="24"/>
      <c r="K142" s="26"/>
      <c r="L142" s="26"/>
      <c r="M142" s="26"/>
      <c r="N142" s="79"/>
      <c r="O142" s="22"/>
      <c r="P142" s="22"/>
      <c r="Q142" s="91"/>
      <c r="R142" s="88"/>
    </row>
    <row r="143" spans="1:18" s="18" customFormat="1" x14ac:dyDescent="0.2">
      <c r="A143" s="23"/>
      <c r="B143" s="97"/>
      <c r="C143" s="97"/>
      <c r="D143" s="24"/>
      <c r="E143" s="24"/>
      <c r="F143" s="24"/>
      <c r="G143" s="24"/>
      <c r="H143" s="24"/>
      <c r="I143" s="24"/>
      <c r="J143" s="24"/>
      <c r="K143" s="26"/>
      <c r="L143" s="26"/>
      <c r="M143" s="26"/>
      <c r="N143" s="79"/>
      <c r="O143" s="22"/>
      <c r="P143" s="22"/>
      <c r="Q143" s="91"/>
      <c r="R143" s="88"/>
    </row>
    <row r="144" spans="1:18" s="18" customFormat="1" x14ac:dyDescent="0.2">
      <c r="A144" s="23"/>
      <c r="B144" s="97"/>
      <c r="C144" s="97"/>
      <c r="D144" s="24"/>
      <c r="E144" s="24"/>
      <c r="F144" s="24"/>
      <c r="G144" s="24"/>
      <c r="H144" s="24"/>
      <c r="I144" s="24"/>
      <c r="J144" s="24"/>
      <c r="K144" s="26"/>
      <c r="L144" s="26"/>
      <c r="M144" s="26"/>
      <c r="N144" s="79"/>
      <c r="O144" s="22"/>
      <c r="P144" s="22"/>
      <c r="Q144" s="91"/>
      <c r="R144" s="88"/>
    </row>
    <row r="145" spans="1:18" s="18" customFormat="1" x14ac:dyDescent="0.2">
      <c r="A145" s="23"/>
      <c r="B145" s="97"/>
      <c r="C145" s="97"/>
      <c r="D145" s="24"/>
      <c r="E145" s="24"/>
      <c r="F145" s="24"/>
      <c r="G145" s="24"/>
      <c r="H145" s="24"/>
      <c r="I145" s="24"/>
      <c r="J145" s="24"/>
      <c r="K145" s="26"/>
      <c r="L145" s="26"/>
      <c r="M145" s="26"/>
      <c r="N145" s="79"/>
      <c r="O145" s="22"/>
      <c r="P145" s="22"/>
      <c r="Q145" s="91"/>
      <c r="R145" s="88"/>
    </row>
    <row r="146" spans="1:18" s="18" customFormat="1" x14ac:dyDescent="0.2">
      <c r="A146" s="23"/>
      <c r="B146" s="97"/>
      <c r="C146" s="97"/>
      <c r="D146" s="24"/>
      <c r="E146" s="24"/>
      <c r="F146" s="24"/>
      <c r="G146" s="24"/>
      <c r="H146" s="24"/>
      <c r="I146" s="24"/>
      <c r="J146" s="24"/>
      <c r="K146" s="26"/>
      <c r="L146" s="26"/>
      <c r="M146" s="26"/>
      <c r="N146" s="79"/>
      <c r="O146" s="22"/>
      <c r="P146" s="22"/>
      <c r="Q146" s="91"/>
      <c r="R146" s="88"/>
    </row>
    <row r="147" spans="1:18" s="18" customFormat="1" x14ac:dyDescent="0.2">
      <c r="A147" s="23"/>
      <c r="B147" s="97"/>
      <c r="C147" s="97"/>
      <c r="D147" s="24"/>
      <c r="E147" s="24"/>
      <c r="F147" s="24"/>
      <c r="G147" s="24"/>
      <c r="H147" s="24"/>
      <c r="I147" s="24"/>
      <c r="J147" s="24"/>
      <c r="K147" s="26"/>
      <c r="L147" s="26"/>
      <c r="M147" s="26"/>
      <c r="N147" s="79"/>
      <c r="O147" s="22"/>
      <c r="P147" s="22"/>
      <c r="Q147" s="91"/>
      <c r="R147" s="88"/>
    </row>
    <row r="148" spans="1:18" s="18" customFormat="1" x14ac:dyDescent="0.2">
      <c r="A148" s="23"/>
      <c r="B148" s="97"/>
      <c r="C148" s="97"/>
      <c r="D148" s="24"/>
      <c r="E148" s="24"/>
      <c r="F148" s="24"/>
      <c r="G148" s="24"/>
      <c r="H148" s="24"/>
      <c r="I148" s="24"/>
      <c r="J148" s="24"/>
      <c r="K148" s="26"/>
      <c r="L148" s="26"/>
      <c r="M148" s="26"/>
      <c r="N148" s="79"/>
      <c r="O148" s="22"/>
      <c r="P148" s="22"/>
      <c r="Q148" s="91"/>
      <c r="R148" s="88"/>
    </row>
    <row r="149" spans="1:18" s="18" customFormat="1" x14ac:dyDescent="0.2">
      <c r="A149" s="23"/>
      <c r="B149" s="97"/>
      <c r="C149" s="97"/>
      <c r="D149" s="24"/>
      <c r="E149" s="24"/>
      <c r="F149" s="24"/>
      <c r="G149" s="24"/>
      <c r="H149" s="24"/>
      <c r="I149" s="24"/>
      <c r="J149" s="24"/>
      <c r="K149" s="26"/>
      <c r="L149" s="26"/>
      <c r="M149" s="26"/>
      <c r="N149" s="79"/>
      <c r="O149" s="22"/>
      <c r="P149" s="22"/>
      <c r="Q149" s="91"/>
      <c r="R149" s="88"/>
    </row>
    <row r="150" spans="1:18" s="18" customFormat="1" x14ac:dyDescent="0.2">
      <c r="A150" s="23"/>
      <c r="B150" s="97"/>
      <c r="C150" s="97"/>
      <c r="D150" s="24"/>
      <c r="E150" s="24"/>
      <c r="F150" s="24"/>
      <c r="G150" s="24"/>
      <c r="H150" s="24"/>
      <c r="I150" s="24"/>
      <c r="J150" s="24"/>
      <c r="K150" s="26"/>
      <c r="L150" s="26"/>
      <c r="M150" s="26"/>
      <c r="N150" s="79"/>
      <c r="O150" s="22"/>
      <c r="P150" s="22"/>
      <c r="Q150" s="91"/>
      <c r="R150" s="88"/>
    </row>
    <row r="151" spans="1:18" s="18" customFormat="1" x14ac:dyDescent="0.2">
      <c r="A151" s="23"/>
      <c r="B151" s="97"/>
      <c r="C151" s="97"/>
      <c r="D151" s="24"/>
      <c r="E151" s="24"/>
      <c r="F151" s="24"/>
      <c r="G151" s="24"/>
      <c r="H151" s="24"/>
      <c r="I151" s="24"/>
      <c r="J151" s="24"/>
      <c r="K151" s="26"/>
      <c r="L151" s="26"/>
      <c r="M151" s="26"/>
      <c r="N151" s="79"/>
      <c r="O151" s="22"/>
      <c r="P151" s="22"/>
      <c r="Q151" s="91"/>
      <c r="R151" s="88"/>
    </row>
    <row r="152" spans="1:18" s="18" customFormat="1" x14ac:dyDescent="0.2">
      <c r="A152" s="23"/>
      <c r="B152" s="97"/>
      <c r="C152" s="97"/>
      <c r="D152" s="24"/>
      <c r="E152" s="24"/>
      <c r="F152" s="24"/>
      <c r="G152" s="24"/>
      <c r="H152" s="24"/>
      <c r="I152" s="24"/>
      <c r="J152" s="24"/>
      <c r="K152" s="26"/>
      <c r="L152" s="26"/>
      <c r="M152" s="26"/>
      <c r="N152" s="79"/>
      <c r="O152" s="22"/>
      <c r="P152" s="22"/>
      <c r="Q152" s="91"/>
      <c r="R152" s="88"/>
    </row>
    <row r="153" spans="1:18" s="18" customFormat="1" x14ac:dyDescent="0.2">
      <c r="A153" s="23"/>
      <c r="B153" s="97"/>
      <c r="C153" s="97"/>
      <c r="D153" s="24"/>
      <c r="E153" s="24"/>
      <c r="F153" s="24"/>
      <c r="G153" s="24"/>
      <c r="H153" s="24"/>
      <c r="I153" s="24"/>
      <c r="J153" s="24"/>
      <c r="K153" s="26"/>
      <c r="L153" s="26"/>
      <c r="M153" s="26"/>
      <c r="N153" s="79"/>
      <c r="O153" s="22"/>
      <c r="P153" s="22"/>
      <c r="Q153" s="91"/>
      <c r="R153" s="88"/>
    </row>
    <row r="154" spans="1:18" s="18" customFormat="1" x14ac:dyDescent="0.2">
      <c r="A154" s="23"/>
      <c r="B154" s="97"/>
      <c r="C154" s="97"/>
      <c r="D154" s="24"/>
      <c r="E154" s="24"/>
      <c r="F154" s="24"/>
      <c r="G154" s="24"/>
      <c r="H154" s="24"/>
      <c r="I154" s="24"/>
      <c r="J154" s="24"/>
      <c r="K154" s="26"/>
      <c r="L154" s="26"/>
      <c r="M154" s="26"/>
      <c r="N154" s="79"/>
      <c r="O154" s="22"/>
      <c r="P154" s="22"/>
      <c r="Q154" s="91"/>
      <c r="R154" s="88"/>
    </row>
    <row r="155" spans="1:18" s="18" customFormat="1" x14ac:dyDescent="0.2">
      <c r="A155" s="23"/>
      <c r="B155" s="97"/>
      <c r="C155" s="97"/>
      <c r="D155" s="24"/>
      <c r="E155" s="24"/>
      <c r="F155" s="24"/>
      <c r="G155" s="24"/>
      <c r="H155" s="24"/>
      <c r="I155" s="24"/>
      <c r="J155" s="24"/>
      <c r="K155" s="26"/>
      <c r="L155" s="26"/>
      <c r="M155" s="26"/>
      <c r="N155" s="79"/>
      <c r="O155" s="22"/>
      <c r="P155" s="22"/>
      <c r="Q155" s="91"/>
      <c r="R155" s="88"/>
    </row>
    <row r="156" spans="1:18" s="18" customFormat="1" x14ac:dyDescent="0.2">
      <c r="A156" s="23"/>
      <c r="B156" s="97"/>
      <c r="C156" s="97"/>
      <c r="D156" s="24"/>
      <c r="E156" s="24"/>
      <c r="F156" s="24"/>
      <c r="G156" s="24"/>
      <c r="H156" s="24"/>
      <c r="I156" s="24"/>
      <c r="J156" s="24"/>
      <c r="K156" s="26"/>
      <c r="L156" s="26"/>
      <c r="M156" s="26"/>
      <c r="N156" s="79"/>
      <c r="O156" s="22"/>
      <c r="P156" s="22"/>
      <c r="Q156" s="91"/>
      <c r="R156" s="88"/>
    </row>
    <row r="157" spans="1:18" s="18" customFormat="1" x14ac:dyDescent="0.2">
      <c r="A157" s="23"/>
      <c r="B157" s="97"/>
      <c r="C157" s="97"/>
      <c r="D157" s="24"/>
      <c r="E157" s="24"/>
      <c r="F157" s="24"/>
      <c r="G157" s="24"/>
      <c r="H157" s="24"/>
      <c r="I157" s="24"/>
      <c r="J157" s="24"/>
      <c r="K157" s="26"/>
      <c r="L157" s="26"/>
      <c r="M157" s="26"/>
      <c r="N157" s="79"/>
      <c r="O157" s="22"/>
      <c r="P157" s="22"/>
      <c r="Q157" s="91"/>
      <c r="R157" s="88"/>
    </row>
    <row r="158" spans="1:18" s="18" customFormat="1" x14ac:dyDescent="0.2">
      <c r="A158" s="23"/>
      <c r="B158" s="97"/>
      <c r="C158" s="97"/>
      <c r="D158" s="24"/>
      <c r="E158" s="24"/>
      <c r="F158" s="24"/>
      <c r="G158" s="24"/>
      <c r="H158" s="24"/>
      <c r="I158" s="24"/>
      <c r="J158" s="24"/>
      <c r="K158" s="26"/>
      <c r="L158" s="26"/>
      <c r="M158" s="26"/>
      <c r="N158" s="79"/>
      <c r="O158" s="22"/>
      <c r="P158" s="22"/>
      <c r="Q158" s="91"/>
      <c r="R158" s="88"/>
    </row>
    <row r="159" spans="1:18" s="18" customFormat="1" x14ac:dyDescent="0.2">
      <c r="A159" s="23"/>
      <c r="B159" s="97"/>
      <c r="C159" s="97"/>
      <c r="D159" s="24"/>
      <c r="E159" s="24"/>
      <c r="F159" s="24"/>
      <c r="G159" s="24"/>
      <c r="H159" s="24"/>
      <c r="I159" s="24"/>
      <c r="J159" s="24"/>
      <c r="K159" s="26"/>
      <c r="L159" s="26"/>
      <c r="M159" s="26"/>
      <c r="N159" s="79"/>
      <c r="O159" s="22"/>
      <c r="P159" s="22"/>
      <c r="Q159" s="91"/>
      <c r="R159" s="88"/>
    </row>
    <row r="160" spans="1:18" s="18" customFormat="1" x14ac:dyDescent="0.2">
      <c r="A160" s="23"/>
      <c r="B160" s="97"/>
      <c r="C160" s="97"/>
      <c r="D160" s="24"/>
      <c r="E160" s="24"/>
      <c r="F160" s="24"/>
      <c r="G160" s="24"/>
      <c r="H160" s="24"/>
      <c r="I160" s="24"/>
      <c r="J160" s="24"/>
      <c r="K160" s="26"/>
      <c r="L160" s="26"/>
      <c r="M160" s="26"/>
      <c r="N160" s="79"/>
      <c r="O160" s="22"/>
      <c r="P160" s="22"/>
      <c r="Q160" s="91"/>
      <c r="R160" s="88"/>
    </row>
    <row r="161" spans="1:18" s="18" customFormat="1" x14ac:dyDescent="0.2">
      <c r="A161" s="23"/>
      <c r="B161" s="97"/>
      <c r="C161" s="97"/>
      <c r="D161" s="24"/>
      <c r="E161" s="24"/>
      <c r="F161" s="24"/>
      <c r="G161" s="24"/>
      <c r="H161" s="24"/>
      <c r="I161" s="24"/>
      <c r="J161" s="24"/>
      <c r="K161" s="26"/>
      <c r="L161" s="26"/>
      <c r="M161" s="26"/>
      <c r="N161" s="79"/>
      <c r="O161" s="22"/>
      <c r="P161" s="22"/>
      <c r="Q161" s="91"/>
      <c r="R161" s="88"/>
    </row>
    <row r="162" spans="1:18" s="18" customFormat="1" x14ac:dyDescent="0.2">
      <c r="A162" s="23"/>
      <c r="B162" s="97"/>
      <c r="C162" s="97"/>
      <c r="D162" s="24"/>
      <c r="E162" s="24"/>
      <c r="F162" s="24"/>
      <c r="G162" s="24"/>
      <c r="H162" s="24"/>
      <c r="I162" s="24"/>
      <c r="J162" s="24"/>
      <c r="K162" s="26"/>
      <c r="L162" s="26"/>
      <c r="M162" s="26"/>
      <c r="N162" s="79"/>
      <c r="O162" s="22"/>
      <c r="P162" s="22"/>
      <c r="Q162" s="91"/>
      <c r="R162" s="88"/>
    </row>
    <row r="163" spans="1:18" s="18" customFormat="1" x14ac:dyDescent="0.2">
      <c r="A163" s="23"/>
      <c r="B163" s="97"/>
      <c r="C163" s="97"/>
      <c r="D163" s="24"/>
      <c r="E163" s="24"/>
      <c r="F163" s="24"/>
      <c r="G163" s="24"/>
      <c r="H163" s="24"/>
      <c r="I163" s="24"/>
      <c r="J163" s="24"/>
      <c r="K163" s="26"/>
      <c r="L163" s="26"/>
      <c r="M163" s="26"/>
      <c r="N163" s="79"/>
      <c r="O163" s="22"/>
      <c r="P163" s="22"/>
      <c r="Q163" s="91"/>
      <c r="R163" s="88"/>
    </row>
    <row r="164" spans="1:18" s="18" customFormat="1" x14ac:dyDescent="0.2">
      <c r="A164" s="23"/>
      <c r="B164" s="97"/>
      <c r="C164" s="97"/>
      <c r="D164" s="24"/>
      <c r="E164" s="24"/>
      <c r="F164" s="24"/>
      <c r="G164" s="24"/>
      <c r="H164" s="24"/>
      <c r="I164" s="24"/>
      <c r="J164" s="24"/>
      <c r="K164" s="26"/>
      <c r="L164" s="26"/>
      <c r="M164" s="26"/>
      <c r="N164" s="79"/>
      <c r="O164" s="22"/>
      <c r="P164" s="22"/>
      <c r="Q164" s="91"/>
      <c r="R164" s="88"/>
    </row>
    <row r="165" spans="1:18" s="18" customFormat="1" x14ac:dyDescent="0.2">
      <c r="A165" s="23"/>
      <c r="B165" s="97"/>
      <c r="C165" s="97"/>
      <c r="D165" s="24"/>
      <c r="E165" s="24"/>
      <c r="F165" s="24"/>
      <c r="G165" s="24"/>
      <c r="H165" s="24"/>
      <c r="I165" s="24"/>
      <c r="J165" s="24"/>
      <c r="K165" s="26"/>
      <c r="L165" s="26"/>
      <c r="M165" s="26"/>
      <c r="N165" s="79"/>
      <c r="O165" s="22"/>
      <c r="P165" s="22"/>
      <c r="Q165" s="91"/>
      <c r="R165" s="88"/>
    </row>
    <row r="166" spans="1:18" s="18" customFormat="1" x14ac:dyDescent="0.2">
      <c r="A166" s="23"/>
      <c r="B166" s="97"/>
      <c r="C166" s="97"/>
      <c r="D166" s="24"/>
      <c r="E166" s="24"/>
      <c r="F166" s="24"/>
      <c r="G166" s="24"/>
      <c r="H166" s="24"/>
      <c r="I166" s="24"/>
      <c r="J166" s="24"/>
      <c r="K166" s="26"/>
      <c r="L166" s="26"/>
      <c r="M166" s="26"/>
      <c r="N166" s="79"/>
      <c r="O166" s="22"/>
      <c r="P166" s="22"/>
      <c r="Q166" s="91"/>
      <c r="R166" s="88"/>
    </row>
    <row r="167" spans="1:18" s="18" customFormat="1" x14ac:dyDescent="0.2">
      <c r="A167" s="23"/>
      <c r="B167" s="97"/>
      <c r="C167" s="97"/>
      <c r="D167" s="24"/>
      <c r="E167" s="24"/>
      <c r="F167" s="24"/>
      <c r="G167" s="24"/>
      <c r="H167" s="24"/>
      <c r="I167" s="24"/>
      <c r="J167" s="24"/>
      <c r="K167" s="36"/>
      <c r="L167" s="26"/>
      <c r="M167" s="26"/>
      <c r="N167" s="79"/>
      <c r="O167" s="22"/>
      <c r="P167" s="22"/>
      <c r="Q167" s="91"/>
      <c r="R167" s="88"/>
    </row>
    <row r="168" spans="1:18" s="18" customFormat="1" x14ac:dyDescent="0.2">
      <c r="A168" s="23"/>
      <c r="B168" s="97"/>
      <c r="C168" s="97"/>
      <c r="D168" s="24"/>
      <c r="E168" s="24"/>
      <c r="F168" s="24"/>
      <c r="G168" s="24"/>
      <c r="H168" s="24"/>
      <c r="I168" s="24"/>
      <c r="J168" s="24"/>
      <c r="K168" s="36"/>
      <c r="L168" s="26"/>
      <c r="M168" s="36"/>
      <c r="N168" s="79"/>
      <c r="O168" s="36"/>
      <c r="P168" s="36"/>
      <c r="Q168" s="91"/>
      <c r="R168" s="88"/>
    </row>
    <row r="169" spans="1:18" s="18" customFormat="1" x14ac:dyDescent="0.2">
      <c r="A169" s="23"/>
      <c r="B169" s="97"/>
      <c r="C169" s="97"/>
      <c r="D169" s="24"/>
      <c r="E169" s="24"/>
      <c r="F169" s="24"/>
      <c r="G169" s="24"/>
      <c r="H169" s="24"/>
      <c r="I169" s="24"/>
      <c r="J169" s="24"/>
      <c r="K169" s="36"/>
      <c r="L169" s="36"/>
      <c r="M169" s="36"/>
      <c r="N169" s="80"/>
      <c r="O169" s="81"/>
      <c r="P169" s="81"/>
      <c r="Q169" s="92"/>
      <c r="R169" s="89"/>
    </row>
    <row r="170" spans="1:18" s="18" customFormat="1" x14ac:dyDescent="0.2">
      <c r="A170" s="23"/>
      <c r="B170" s="97"/>
      <c r="C170" s="97"/>
      <c r="D170" s="24"/>
      <c r="E170" s="24"/>
      <c r="F170" s="24"/>
      <c r="G170" s="24"/>
      <c r="H170" s="24"/>
      <c r="I170" s="24"/>
      <c r="J170" s="24"/>
      <c r="K170" s="26"/>
      <c r="L170" s="26"/>
      <c r="M170" s="26"/>
      <c r="N170" s="79"/>
      <c r="O170" s="22"/>
      <c r="P170" s="22"/>
      <c r="Q170" s="91"/>
      <c r="R170" s="88"/>
    </row>
    <row r="171" spans="1:18" s="18" customFormat="1" x14ac:dyDescent="0.2">
      <c r="A171" s="23"/>
      <c r="B171" s="97"/>
      <c r="C171" s="97"/>
      <c r="D171" s="24"/>
      <c r="E171" s="24"/>
      <c r="F171" s="24"/>
      <c r="G171" s="24"/>
      <c r="H171" s="24"/>
      <c r="I171" s="24"/>
      <c r="J171" s="24"/>
      <c r="K171" s="36"/>
      <c r="L171" s="36"/>
      <c r="M171" s="36"/>
      <c r="N171" s="80"/>
      <c r="O171" s="81"/>
      <c r="P171" s="81"/>
      <c r="Q171" s="92"/>
      <c r="R171" s="89"/>
    </row>
    <row r="172" spans="1:18" s="18" customFormat="1" x14ac:dyDescent="0.2">
      <c r="A172" s="23"/>
      <c r="B172" s="97"/>
      <c r="C172" s="97"/>
      <c r="D172" s="24"/>
      <c r="E172" s="24"/>
      <c r="F172" s="24"/>
      <c r="G172" s="24"/>
      <c r="H172" s="24"/>
      <c r="I172" s="24"/>
      <c r="J172" s="24"/>
      <c r="K172" s="36"/>
      <c r="L172" s="36"/>
      <c r="M172" s="36"/>
      <c r="N172" s="80"/>
      <c r="O172" s="81"/>
      <c r="P172" s="81"/>
      <c r="Q172" s="91"/>
      <c r="R172" s="88"/>
    </row>
    <row r="173" spans="1:18" s="18" customFormat="1" x14ac:dyDescent="0.2">
      <c r="A173" s="23"/>
      <c r="B173" s="97"/>
      <c r="C173" s="97"/>
      <c r="D173" s="24"/>
      <c r="E173" s="24"/>
      <c r="F173" s="24"/>
      <c r="G173" s="24"/>
      <c r="H173" s="24"/>
      <c r="I173" s="24"/>
      <c r="J173" s="24"/>
      <c r="K173" s="26"/>
      <c r="L173" s="26"/>
      <c r="M173" s="26"/>
      <c r="N173" s="79"/>
      <c r="O173" s="22"/>
      <c r="P173" s="22"/>
      <c r="Q173" s="91"/>
      <c r="R173" s="88"/>
    </row>
    <row r="174" spans="1:18" s="18" customFormat="1" x14ac:dyDescent="0.2">
      <c r="A174" s="23"/>
      <c r="B174" s="97"/>
      <c r="C174" s="97"/>
      <c r="D174" s="24"/>
      <c r="E174" s="24"/>
      <c r="F174" s="24"/>
      <c r="G174" s="24"/>
      <c r="H174" s="24"/>
      <c r="I174" s="24"/>
      <c r="J174" s="24"/>
      <c r="K174" s="26"/>
      <c r="L174" s="26"/>
      <c r="M174" s="26"/>
      <c r="N174" s="79"/>
      <c r="O174" s="22"/>
      <c r="P174" s="22"/>
      <c r="Q174" s="91"/>
      <c r="R174" s="88"/>
    </row>
    <row r="175" spans="1:18" s="18" customFormat="1" x14ac:dyDescent="0.2">
      <c r="A175" s="23"/>
      <c r="B175" s="97"/>
      <c r="C175" s="97"/>
      <c r="D175" s="24"/>
      <c r="E175" s="24"/>
      <c r="F175" s="24"/>
      <c r="G175" s="24"/>
      <c r="H175" s="24"/>
      <c r="I175" s="24"/>
      <c r="J175" s="24"/>
      <c r="K175" s="26"/>
      <c r="L175" s="26"/>
      <c r="M175" s="26"/>
      <c r="N175" s="79"/>
      <c r="O175" s="22"/>
      <c r="P175" s="22"/>
      <c r="Q175" s="91"/>
      <c r="R175" s="88"/>
    </row>
    <row r="176" spans="1:18" s="18" customFormat="1" x14ac:dyDescent="0.2">
      <c r="A176" s="23"/>
      <c r="B176" s="97"/>
      <c r="C176" s="97"/>
      <c r="D176" s="24"/>
      <c r="E176" s="24"/>
      <c r="F176" s="24"/>
      <c r="G176" s="24"/>
      <c r="H176" s="24"/>
      <c r="I176" s="24"/>
      <c r="J176" s="24"/>
      <c r="K176" s="26"/>
      <c r="L176" s="26"/>
      <c r="M176" s="26"/>
      <c r="N176" s="79"/>
      <c r="O176" s="22"/>
      <c r="P176" s="22"/>
      <c r="Q176" s="91"/>
      <c r="R176" s="88"/>
    </row>
    <row r="177" spans="1:18" s="18" customFormat="1" x14ac:dyDescent="0.2">
      <c r="A177" s="23"/>
      <c r="B177" s="97"/>
      <c r="C177" s="97"/>
      <c r="D177" s="24"/>
      <c r="E177" s="24"/>
      <c r="F177" s="24"/>
      <c r="G177" s="24"/>
      <c r="H177" s="24"/>
      <c r="I177" s="24"/>
      <c r="J177" s="24"/>
      <c r="K177" s="26"/>
      <c r="L177" s="26"/>
      <c r="M177" s="26"/>
      <c r="N177" s="79"/>
      <c r="O177" s="22"/>
      <c r="P177" s="22"/>
      <c r="Q177" s="91"/>
      <c r="R177" s="88"/>
    </row>
    <row r="178" spans="1:18" s="18" customFormat="1" x14ac:dyDescent="0.2">
      <c r="A178" s="23"/>
      <c r="B178" s="97"/>
      <c r="C178" s="97"/>
      <c r="D178" s="24"/>
      <c r="E178" s="24"/>
      <c r="F178" s="24"/>
      <c r="G178" s="24"/>
      <c r="H178" s="24"/>
      <c r="I178" s="24"/>
      <c r="J178" s="24"/>
      <c r="K178" s="26"/>
      <c r="L178" s="26"/>
      <c r="M178" s="26"/>
      <c r="N178" s="79"/>
      <c r="O178" s="22"/>
      <c r="P178" s="22"/>
      <c r="Q178" s="91"/>
      <c r="R178" s="88"/>
    </row>
    <row r="179" spans="1:18" s="18" customFormat="1" x14ac:dyDescent="0.2">
      <c r="A179" s="23"/>
      <c r="B179" s="97"/>
      <c r="C179" s="97"/>
      <c r="D179" s="24"/>
      <c r="E179" s="24"/>
      <c r="F179" s="24"/>
      <c r="G179" s="24"/>
      <c r="H179" s="24"/>
      <c r="I179" s="24"/>
      <c r="J179" s="24"/>
      <c r="K179" s="26"/>
      <c r="L179" s="26"/>
      <c r="M179" s="26"/>
      <c r="N179" s="79"/>
      <c r="O179" s="22"/>
      <c r="P179" s="22"/>
      <c r="Q179" s="91"/>
      <c r="R179" s="88"/>
    </row>
    <row r="180" spans="1:18" s="18" customFormat="1" x14ac:dyDescent="0.2">
      <c r="A180" s="23"/>
      <c r="B180" s="97"/>
      <c r="C180" s="97"/>
      <c r="D180" s="24"/>
      <c r="E180" s="24"/>
      <c r="F180" s="24"/>
      <c r="G180" s="24"/>
      <c r="H180" s="24"/>
      <c r="I180" s="24"/>
      <c r="J180" s="24"/>
      <c r="K180" s="26"/>
      <c r="L180" s="26"/>
      <c r="M180" s="26"/>
      <c r="N180" s="79"/>
      <c r="O180" s="22"/>
      <c r="P180" s="22"/>
      <c r="Q180" s="91"/>
      <c r="R180" s="88"/>
    </row>
    <row r="181" spans="1:18" s="18" customFormat="1" x14ac:dyDescent="0.2">
      <c r="A181" s="23"/>
      <c r="B181" s="97"/>
      <c r="C181" s="97"/>
      <c r="D181" s="24"/>
      <c r="E181" s="24"/>
      <c r="F181" s="24"/>
      <c r="G181" s="24"/>
      <c r="H181" s="24"/>
      <c r="I181" s="24"/>
      <c r="J181" s="24"/>
      <c r="K181" s="26"/>
      <c r="L181" s="26"/>
      <c r="M181" s="26"/>
      <c r="N181" s="79"/>
      <c r="O181" s="22"/>
      <c r="P181" s="22"/>
      <c r="Q181" s="91"/>
      <c r="R181" s="88"/>
    </row>
    <row r="182" spans="1:18" s="18" customFormat="1" x14ac:dyDescent="0.2">
      <c r="A182" s="23"/>
      <c r="B182" s="97"/>
      <c r="C182" s="97"/>
      <c r="D182" s="24"/>
      <c r="E182" s="24"/>
      <c r="F182" s="24"/>
      <c r="G182" s="24"/>
      <c r="H182" s="24"/>
      <c r="I182" s="24"/>
      <c r="J182" s="24"/>
      <c r="K182" s="26"/>
      <c r="L182" s="26"/>
      <c r="M182" s="26"/>
      <c r="N182" s="79"/>
      <c r="O182" s="22"/>
      <c r="P182" s="22"/>
      <c r="Q182" s="91"/>
      <c r="R182" s="88"/>
    </row>
    <row r="183" spans="1:18" s="18" customFormat="1" x14ac:dyDescent="0.2">
      <c r="A183" s="23"/>
      <c r="B183" s="97"/>
      <c r="C183" s="97"/>
      <c r="D183" s="24"/>
      <c r="E183" s="24"/>
      <c r="F183" s="24"/>
      <c r="G183" s="24"/>
      <c r="H183" s="24"/>
      <c r="I183" s="24"/>
      <c r="J183" s="24"/>
      <c r="K183" s="26"/>
      <c r="L183" s="26"/>
      <c r="M183" s="26"/>
      <c r="N183" s="79"/>
      <c r="O183" s="22"/>
      <c r="P183" s="22"/>
      <c r="Q183" s="91"/>
      <c r="R183" s="88"/>
    </row>
    <row r="184" spans="1:18" s="18" customFormat="1" x14ac:dyDescent="0.2">
      <c r="A184" s="23"/>
      <c r="B184" s="97"/>
      <c r="C184" s="97"/>
      <c r="D184" s="24"/>
      <c r="E184" s="24"/>
      <c r="F184" s="24"/>
      <c r="G184" s="24"/>
      <c r="H184" s="24"/>
      <c r="I184" s="24"/>
      <c r="J184" s="24"/>
      <c r="K184" s="26"/>
      <c r="L184" s="26"/>
      <c r="M184" s="26"/>
      <c r="N184" s="79"/>
      <c r="O184" s="22"/>
      <c r="P184" s="22"/>
      <c r="Q184" s="91"/>
      <c r="R184" s="88"/>
    </row>
    <row r="185" spans="1:18" s="18" customFormat="1" x14ac:dyDescent="0.2">
      <c r="A185" s="23"/>
      <c r="B185" s="97"/>
      <c r="C185" s="97"/>
      <c r="D185" s="24"/>
      <c r="E185" s="24"/>
      <c r="F185" s="24"/>
      <c r="G185" s="24"/>
      <c r="H185" s="24"/>
      <c r="I185" s="24"/>
      <c r="J185" s="24"/>
      <c r="K185" s="26"/>
      <c r="L185" s="26"/>
      <c r="M185" s="26"/>
      <c r="N185" s="79"/>
      <c r="O185" s="22"/>
      <c r="P185" s="22"/>
      <c r="Q185" s="91"/>
      <c r="R185" s="88"/>
    </row>
    <row r="186" spans="1:18" s="18" customFormat="1" x14ac:dyDescent="0.2">
      <c r="A186" s="23"/>
      <c r="B186" s="97"/>
      <c r="C186" s="97"/>
      <c r="D186" s="24"/>
      <c r="E186" s="24"/>
      <c r="F186" s="24"/>
      <c r="G186" s="24"/>
      <c r="H186" s="24"/>
      <c r="I186" s="24"/>
      <c r="J186" s="24"/>
      <c r="K186" s="26"/>
      <c r="L186" s="26"/>
      <c r="M186" s="26"/>
      <c r="N186" s="79"/>
      <c r="O186" s="22"/>
      <c r="P186" s="22"/>
      <c r="Q186" s="91"/>
      <c r="R186" s="88"/>
    </row>
    <row r="187" spans="1:18" s="18" customFormat="1" x14ac:dyDescent="0.2">
      <c r="A187" s="23"/>
      <c r="B187" s="97"/>
      <c r="C187" s="97"/>
      <c r="D187" s="24"/>
      <c r="E187" s="24"/>
      <c r="F187" s="24"/>
      <c r="G187" s="24"/>
      <c r="H187" s="24"/>
      <c r="I187" s="24"/>
      <c r="J187" s="24"/>
      <c r="K187" s="26"/>
      <c r="L187" s="26"/>
      <c r="M187" s="26"/>
      <c r="N187" s="79"/>
      <c r="O187" s="22"/>
      <c r="P187" s="22"/>
      <c r="Q187" s="91"/>
      <c r="R187" s="88"/>
    </row>
    <row r="188" spans="1:18" s="18" customFormat="1" x14ac:dyDescent="0.2">
      <c r="A188" s="23"/>
      <c r="B188" s="97"/>
      <c r="C188" s="97"/>
      <c r="D188" s="24"/>
      <c r="E188" s="24"/>
      <c r="F188" s="24"/>
      <c r="G188" s="24"/>
      <c r="H188" s="24"/>
      <c r="I188" s="24"/>
      <c r="J188" s="24"/>
      <c r="K188" s="26"/>
      <c r="L188" s="26"/>
      <c r="M188" s="26"/>
      <c r="N188" s="79"/>
      <c r="O188" s="22"/>
      <c r="P188" s="22"/>
      <c r="Q188" s="91"/>
      <c r="R188" s="88"/>
    </row>
    <row r="189" spans="1:18" s="18" customFormat="1" x14ac:dyDescent="0.2">
      <c r="A189" s="23"/>
      <c r="B189" s="97"/>
      <c r="C189" s="97"/>
      <c r="D189" s="24"/>
      <c r="E189" s="24"/>
      <c r="F189" s="24"/>
      <c r="G189" s="24"/>
      <c r="H189" s="24"/>
      <c r="I189" s="24"/>
      <c r="J189" s="24"/>
      <c r="K189" s="26"/>
      <c r="L189" s="26"/>
      <c r="M189" s="26"/>
      <c r="N189" s="79"/>
      <c r="O189" s="22"/>
      <c r="P189" s="22"/>
      <c r="Q189" s="91"/>
      <c r="R189" s="88"/>
    </row>
    <row r="190" spans="1:18" s="18" customFormat="1" x14ac:dyDescent="0.2">
      <c r="A190" s="23"/>
      <c r="B190" s="97"/>
      <c r="C190" s="97"/>
      <c r="D190" s="24"/>
      <c r="E190" s="24"/>
      <c r="F190" s="24"/>
      <c r="G190" s="24"/>
      <c r="H190" s="24"/>
      <c r="I190" s="24"/>
      <c r="J190" s="24"/>
      <c r="K190" s="26"/>
      <c r="L190" s="26"/>
      <c r="M190" s="26"/>
      <c r="N190" s="79"/>
      <c r="O190" s="22"/>
      <c r="P190" s="22"/>
      <c r="Q190" s="91"/>
      <c r="R190" s="88"/>
    </row>
    <row r="191" spans="1:18" s="18" customFormat="1" x14ac:dyDescent="0.2">
      <c r="A191" s="23"/>
      <c r="B191" s="97"/>
      <c r="C191" s="97"/>
      <c r="D191" s="24"/>
      <c r="E191" s="24"/>
      <c r="F191" s="24"/>
      <c r="G191" s="24"/>
      <c r="H191" s="24"/>
      <c r="I191" s="24"/>
      <c r="J191" s="24"/>
      <c r="K191" s="26"/>
      <c r="L191" s="26"/>
      <c r="M191" s="26"/>
      <c r="N191" s="79"/>
      <c r="O191" s="22"/>
      <c r="P191" s="22"/>
      <c r="Q191" s="91"/>
      <c r="R191" s="88"/>
    </row>
    <row r="192" spans="1:18" s="18" customFormat="1" x14ac:dyDescent="0.2">
      <c r="A192" s="23"/>
      <c r="B192" s="97"/>
      <c r="C192" s="97"/>
      <c r="D192" s="24"/>
      <c r="E192" s="24"/>
      <c r="F192" s="24"/>
      <c r="G192" s="24"/>
      <c r="H192" s="24"/>
      <c r="I192" s="24"/>
      <c r="J192" s="24"/>
      <c r="K192" s="26"/>
      <c r="L192" s="26"/>
      <c r="M192" s="26"/>
      <c r="N192" s="79"/>
      <c r="O192" s="22"/>
      <c r="P192" s="22"/>
      <c r="Q192" s="91"/>
      <c r="R192" s="88"/>
    </row>
    <row r="193" spans="1:18" s="18" customFormat="1" x14ac:dyDescent="0.2">
      <c r="A193" s="23"/>
      <c r="B193" s="97"/>
      <c r="C193" s="97"/>
      <c r="D193" s="24"/>
      <c r="E193" s="24"/>
      <c r="F193" s="24"/>
      <c r="G193" s="24"/>
      <c r="H193" s="24"/>
      <c r="I193" s="24"/>
      <c r="J193" s="24"/>
      <c r="K193" s="26"/>
      <c r="L193" s="26"/>
      <c r="M193" s="26"/>
      <c r="N193" s="79"/>
      <c r="O193" s="22"/>
      <c r="P193" s="22"/>
      <c r="Q193" s="91"/>
      <c r="R193" s="88"/>
    </row>
    <row r="194" spans="1:18" s="18" customFormat="1" x14ac:dyDescent="0.2">
      <c r="A194" s="23"/>
      <c r="B194" s="97"/>
      <c r="C194" s="97"/>
      <c r="D194" s="24"/>
      <c r="E194" s="24"/>
      <c r="F194" s="24"/>
      <c r="G194" s="24"/>
      <c r="H194" s="24"/>
      <c r="I194" s="24"/>
      <c r="J194" s="24"/>
      <c r="K194" s="26"/>
      <c r="L194" s="26"/>
      <c r="M194" s="26"/>
      <c r="N194" s="79"/>
      <c r="O194" s="22"/>
      <c r="P194" s="22"/>
      <c r="Q194" s="91"/>
      <c r="R194" s="88"/>
    </row>
    <row r="195" spans="1:18" s="18" customFormat="1" x14ac:dyDescent="0.2">
      <c r="A195" s="23"/>
      <c r="B195" s="97"/>
      <c r="C195" s="97"/>
      <c r="D195" s="24"/>
      <c r="E195" s="24"/>
      <c r="F195" s="24"/>
      <c r="G195" s="24"/>
      <c r="H195" s="24"/>
      <c r="I195" s="24"/>
      <c r="J195" s="24"/>
      <c r="K195" s="26"/>
      <c r="L195" s="26"/>
      <c r="M195" s="26"/>
      <c r="N195" s="79"/>
      <c r="O195" s="22"/>
      <c r="P195" s="22"/>
      <c r="Q195" s="91"/>
      <c r="R195" s="88"/>
    </row>
    <row r="196" spans="1:18" s="18" customFormat="1" x14ac:dyDescent="0.2">
      <c r="A196" s="23"/>
      <c r="B196" s="97"/>
      <c r="C196" s="97"/>
      <c r="D196" s="24"/>
      <c r="E196" s="24"/>
      <c r="F196" s="24"/>
      <c r="G196" s="24"/>
      <c r="H196" s="24"/>
      <c r="I196" s="24"/>
      <c r="J196" s="24"/>
      <c r="K196" s="26"/>
      <c r="L196" s="26"/>
      <c r="M196" s="26"/>
      <c r="N196" s="79"/>
      <c r="O196" s="22"/>
      <c r="P196" s="22"/>
      <c r="Q196" s="91"/>
      <c r="R196" s="88"/>
    </row>
    <row r="197" spans="1:18" s="18" customFormat="1" x14ac:dyDescent="0.2">
      <c r="A197" s="23"/>
      <c r="B197" s="97"/>
      <c r="C197" s="97"/>
      <c r="D197" s="24"/>
      <c r="E197" s="24"/>
      <c r="F197" s="24"/>
      <c r="G197" s="24"/>
      <c r="H197" s="24"/>
      <c r="I197" s="24"/>
      <c r="J197" s="24"/>
      <c r="K197" s="26"/>
      <c r="L197" s="26"/>
      <c r="M197" s="26"/>
      <c r="N197" s="79"/>
      <c r="O197" s="22"/>
      <c r="P197" s="22"/>
      <c r="Q197" s="91"/>
      <c r="R197" s="88"/>
    </row>
    <row r="198" spans="1:18" s="18" customFormat="1" x14ac:dyDescent="0.2">
      <c r="A198" s="23"/>
      <c r="B198" s="97"/>
      <c r="C198" s="97"/>
      <c r="D198" s="24"/>
      <c r="E198" s="24"/>
      <c r="F198" s="24"/>
      <c r="G198" s="24"/>
      <c r="H198" s="24"/>
      <c r="I198" s="24"/>
      <c r="J198" s="24"/>
      <c r="K198" s="26"/>
      <c r="L198" s="26"/>
      <c r="M198" s="26"/>
      <c r="N198" s="79"/>
      <c r="O198" s="22"/>
      <c r="P198" s="22"/>
      <c r="Q198" s="91"/>
      <c r="R198" s="88"/>
    </row>
    <row r="199" spans="1:18" s="18" customFormat="1" x14ac:dyDescent="0.2">
      <c r="A199" s="23"/>
      <c r="B199" s="97"/>
      <c r="C199" s="97"/>
      <c r="D199" s="24"/>
      <c r="E199" s="24"/>
      <c r="F199" s="24"/>
      <c r="G199" s="24"/>
      <c r="H199" s="24"/>
      <c r="I199" s="24"/>
      <c r="J199" s="24"/>
      <c r="K199" s="26"/>
      <c r="L199" s="26"/>
      <c r="M199" s="26"/>
      <c r="N199" s="79"/>
      <c r="O199" s="22"/>
      <c r="P199" s="22"/>
      <c r="Q199" s="91"/>
      <c r="R199" s="88"/>
    </row>
    <row r="200" spans="1:18" s="18" customFormat="1" x14ac:dyDescent="0.2">
      <c r="A200" s="23"/>
      <c r="B200" s="97"/>
      <c r="C200" s="97"/>
      <c r="D200" s="24"/>
      <c r="E200" s="24"/>
      <c r="F200" s="24"/>
      <c r="G200" s="24"/>
      <c r="H200" s="24"/>
      <c r="I200" s="24"/>
      <c r="J200" s="24"/>
      <c r="K200" s="26"/>
      <c r="L200" s="26"/>
      <c r="M200" s="26"/>
      <c r="N200" s="79"/>
      <c r="O200" s="22"/>
      <c r="P200" s="22"/>
      <c r="Q200" s="91"/>
      <c r="R200" s="88"/>
    </row>
    <row r="201" spans="1:18" s="18" customFormat="1" x14ac:dyDescent="0.2">
      <c r="A201" s="23"/>
      <c r="B201" s="97"/>
      <c r="C201" s="97"/>
      <c r="D201" s="24"/>
      <c r="E201" s="24"/>
      <c r="F201" s="24"/>
      <c r="G201" s="24"/>
      <c r="H201" s="24"/>
      <c r="I201" s="24"/>
      <c r="J201" s="24"/>
      <c r="K201" s="26"/>
      <c r="L201" s="26"/>
      <c r="M201" s="26"/>
      <c r="N201" s="79"/>
      <c r="O201" s="22"/>
      <c r="P201" s="22"/>
      <c r="Q201" s="91"/>
      <c r="R201" s="88"/>
    </row>
    <row r="202" spans="1:18" s="18" customFormat="1" x14ac:dyDescent="0.2">
      <c r="A202" s="23"/>
      <c r="B202" s="97"/>
      <c r="C202" s="97"/>
      <c r="D202" s="24"/>
      <c r="E202" s="24"/>
      <c r="F202" s="24"/>
      <c r="G202" s="24"/>
      <c r="H202" s="24"/>
      <c r="I202" s="24"/>
      <c r="J202" s="24"/>
      <c r="K202" s="26"/>
      <c r="L202" s="26"/>
      <c r="M202" s="26"/>
      <c r="N202" s="79"/>
      <c r="O202" s="22"/>
      <c r="P202" s="22"/>
      <c r="Q202" s="91"/>
      <c r="R202" s="88"/>
    </row>
    <row r="203" spans="1:18" s="18" customFormat="1" x14ac:dyDescent="0.2">
      <c r="A203" s="23"/>
      <c r="B203" s="97"/>
      <c r="C203" s="97"/>
      <c r="D203" s="24"/>
      <c r="E203" s="24"/>
      <c r="F203" s="24"/>
      <c r="G203" s="24"/>
      <c r="H203" s="24"/>
      <c r="I203" s="24"/>
      <c r="J203" s="24"/>
      <c r="K203" s="26"/>
      <c r="L203" s="26"/>
      <c r="M203" s="26"/>
      <c r="N203" s="79"/>
      <c r="O203" s="22"/>
      <c r="P203" s="22"/>
      <c r="Q203" s="91"/>
      <c r="R203" s="88"/>
    </row>
    <row r="204" spans="1:18" s="18" customFormat="1" x14ac:dyDescent="0.2">
      <c r="A204" s="23"/>
      <c r="B204" s="97"/>
      <c r="C204" s="97"/>
      <c r="D204" s="24"/>
      <c r="E204" s="24"/>
      <c r="F204" s="24"/>
      <c r="G204" s="24"/>
      <c r="H204" s="24"/>
      <c r="I204" s="24"/>
      <c r="J204" s="24"/>
      <c r="K204" s="26"/>
      <c r="L204" s="26"/>
      <c r="M204" s="26"/>
      <c r="N204" s="79"/>
      <c r="O204" s="22"/>
      <c r="P204" s="22"/>
      <c r="Q204" s="91"/>
      <c r="R204" s="88"/>
    </row>
    <row r="205" spans="1:18" s="18" customFormat="1" x14ac:dyDescent="0.2">
      <c r="A205" s="23"/>
      <c r="B205" s="97"/>
      <c r="C205" s="97"/>
      <c r="D205" s="24"/>
      <c r="E205" s="24"/>
      <c r="F205" s="24"/>
      <c r="G205" s="24"/>
      <c r="H205" s="24"/>
      <c r="I205" s="24"/>
      <c r="J205" s="24"/>
      <c r="K205" s="26"/>
      <c r="L205" s="26"/>
      <c r="M205" s="26"/>
      <c r="N205" s="79"/>
      <c r="O205" s="22"/>
      <c r="P205" s="22"/>
      <c r="Q205" s="91"/>
      <c r="R205" s="88"/>
    </row>
    <row r="206" spans="1:18" s="18" customFormat="1" x14ac:dyDescent="0.2">
      <c r="A206" s="23"/>
      <c r="B206" s="97"/>
      <c r="C206" s="97"/>
      <c r="D206" s="24"/>
      <c r="E206" s="24"/>
      <c r="F206" s="24"/>
      <c r="G206" s="24"/>
      <c r="H206" s="24"/>
      <c r="I206" s="24"/>
      <c r="J206" s="24"/>
      <c r="K206" s="26"/>
      <c r="L206" s="26"/>
      <c r="M206" s="26"/>
      <c r="N206" s="79"/>
      <c r="O206" s="22"/>
      <c r="P206" s="22"/>
      <c r="Q206" s="91"/>
      <c r="R206" s="88"/>
    </row>
    <row r="207" spans="1:18" s="18" customFormat="1" x14ac:dyDescent="0.2">
      <c r="A207" s="23"/>
      <c r="B207" s="97"/>
      <c r="C207" s="97"/>
      <c r="D207" s="24"/>
      <c r="E207" s="24"/>
      <c r="F207" s="24"/>
      <c r="G207" s="24"/>
      <c r="H207" s="24"/>
      <c r="I207" s="24"/>
      <c r="J207" s="24"/>
      <c r="K207" s="26"/>
      <c r="L207" s="26"/>
      <c r="M207" s="26"/>
      <c r="N207" s="79"/>
      <c r="O207" s="22"/>
      <c r="P207" s="22"/>
      <c r="Q207" s="91"/>
      <c r="R207" s="88"/>
    </row>
    <row r="208" spans="1:18" s="18" customFormat="1" x14ac:dyDescent="0.2">
      <c r="A208" s="23"/>
      <c r="B208" s="97"/>
      <c r="C208" s="97"/>
      <c r="D208" s="24"/>
      <c r="E208" s="24"/>
      <c r="F208" s="24"/>
      <c r="G208" s="24"/>
      <c r="H208" s="24"/>
      <c r="I208" s="24"/>
      <c r="J208" s="24"/>
      <c r="K208" s="26"/>
      <c r="L208" s="26"/>
      <c r="M208" s="26"/>
      <c r="N208" s="79"/>
      <c r="O208" s="22"/>
      <c r="P208" s="22"/>
      <c r="Q208" s="91"/>
      <c r="R208" s="88"/>
    </row>
    <row r="209" spans="1:18" s="18" customFormat="1" x14ac:dyDescent="0.2">
      <c r="A209" s="23"/>
      <c r="B209" s="97"/>
      <c r="C209" s="97"/>
      <c r="D209" s="24"/>
      <c r="E209" s="24"/>
      <c r="F209" s="24"/>
      <c r="G209" s="24"/>
      <c r="H209" s="24"/>
      <c r="I209" s="24"/>
      <c r="J209" s="24"/>
      <c r="K209" s="26"/>
      <c r="L209" s="26"/>
      <c r="M209" s="26"/>
      <c r="N209" s="79"/>
      <c r="O209" s="22"/>
      <c r="P209" s="22"/>
      <c r="Q209" s="91"/>
      <c r="R209" s="88"/>
    </row>
    <row r="210" spans="1:18" s="18" customFormat="1" x14ac:dyDescent="0.2">
      <c r="A210" s="23"/>
      <c r="B210" s="97"/>
      <c r="C210" s="97"/>
      <c r="D210" s="24"/>
      <c r="E210" s="24"/>
      <c r="F210" s="24"/>
      <c r="G210" s="24"/>
      <c r="H210" s="24"/>
      <c r="I210" s="24"/>
      <c r="J210" s="24"/>
      <c r="K210" s="26"/>
      <c r="L210" s="26"/>
      <c r="M210" s="26"/>
      <c r="N210" s="79"/>
      <c r="O210" s="22"/>
      <c r="P210" s="22"/>
      <c r="Q210" s="91"/>
      <c r="R210" s="88"/>
    </row>
    <row r="211" spans="1:18" s="18" customFormat="1" x14ac:dyDescent="0.2">
      <c r="A211" s="23"/>
      <c r="B211" s="97"/>
      <c r="C211" s="97"/>
      <c r="D211" s="24"/>
      <c r="E211" s="24"/>
      <c r="F211" s="24"/>
      <c r="G211" s="24"/>
      <c r="H211" s="24"/>
      <c r="I211" s="24"/>
      <c r="J211" s="24"/>
      <c r="K211" s="26"/>
      <c r="L211" s="26"/>
      <c r="M211" s="26"/>
      <c r="N211" s="79"/>
      <c r="O211" s="22"/>
      <c r="P211" s="22"/>
      <c r="Q211" s="91"/>
      <c r="R211" s="88"/>
    </row>
    <row r="212" spans="1:18" s="18" customFormat="1" x14ac:dyDescent="0.2">
      <c r="A212" s="23"/>
      <c r="B212" s="97"/>
      <c r="C212" s="97"/>
      <c r="D212" s="24"/>
      <c r="E212" s="24"/>
      <c r="F212" s="24"/>
      <c r="G212" s="24"/>
      <c r="H212" s="24"/>
      <c r="I212" s="24"/>
      <c r="J212" s="24"/>
      <c r="K212" s="26"/>
      <c r="L212" s="26"/>
      <c r="M212" s="26"/>
      <c r="N212" s="79"/>
      <c r="O212" s="22"/>
      <c r="P212" s="22"/>
      <c r="Q212" s="91"/>
      <c r="R212" s="88"/>
    </row>
    <row r="213" spans="1:18" s="18" customFormat="1" x14ac:dyDescent="0.2">
      <c r="A213" s="23"/>
      <c r="B213" s="97"/>
      <c r="C213" s="97"/>
      <c r="D213" s="24"/>
      <c r="E213" s="24"/>
      <c r="F213" s="24"/>
      <c r="G213" s="24"/>
      <c r="H213" s="24"/>
      <c r="I213" s="24"/>
      <c r="J213" s="24"/>
      <c r="K213" s="26"/>
      <c r="L213" s="26"/>
      <c r="M213" s="26"/>
      <c r="N213" s="79"/>
      <c r="O213" s="22"/>
      <c r="P213" s="22"/>
      <c r="Q213" s="91"/>
      <c r="R213" s="88"/>
    </row>
    <row r="214" spans="1:18" s="18" customFormat="1" x14ac:dyDescent="0.2">
      <c r="A214" s="23"/>
      <c r="B214" s="97"/>
      <c r="C214" s="97"/>
      <c r="D214" s="24"/>
      <c r="E214" s="24"/>
      <c r="F214" s="24"/>
      <c r="G214" s="24"/>
      <c r="H214" s="24"/>
      <c r="I214" s="24"/>
      <c r="J214" s="24"/>
      <c r="K214" s="36"/>
      <c r="L214" s="36"/>
      <c r="M214" s="26"/>
      <c r="N214" s="80"/>
      <c r="O214" s="81"/>
      <c r="P214" s="81"/>
      <c r="Q214" s="92"/>
      <c r="R214" s="89"/>
    </row>
    <row r="215" spans="1:18" s="18" customFormat="1" x14ac:dyDescent="0.2">
      <c r="A215" s="23"/>
      <c r="B215" s="97"/>
      <c r="C215" s="97"/>
      <c r="D215" s="24"/>
      <c r="E215" s="24"/>
      <c r="F215" s="24"/>
      <c r="G215" s="24"/>
      <c r="H215" s="24"/>
      <c r="I215" s="24"/>
      <c r="J215" s="24"/>
      <c r="K215" s="26"/>
      <c r="L215" s="26"/>
      <c r="M215" s="26"/>
      <c r="N215" s="79"/>
      <c r="O215" s="22"/>
      <c r="P215" s="22"/>
      <c r="Q215" s="91"/>
      <c r="R215" s="88"/>
    </row>
    <row r="216" spans="1:18" s="18" customFormat="1" x14ac:dyDescent="0.2">
      <c r="A216" s="23"/>
      <c r="B216" s="97"/>
      <c r="C216" s="97"/>
      <c r="D216" s="24"/>
      <c r="E216" s="24"/>
      <c r="F216" s="24"/>
      <c r="G216" s="24"/>
      <c r="H216" s="24"/>
      <c r="I216" s="24"/>
      <c r="J216" s="24"/>
      <c r="K216" s="26"/>
      <c r="L216" s="26"/>
      <c r="M216" s="26"/>
      <c r="N216" s="79"/>
      <c r="O216" s="22"/>
      <c r="P216" s="22"/>
      <c r="Q216" s="91"/>
      <c r="R216" s="88"/>
    </row>
    <row r="217" spans="1:18" s="18" customFormat="1" x14ac:dyDescent="0.2">
      <c r="A217" s="23"/>
      <c r="B217" s="97"/>
      <c r="C217" s="97"/>
      <c r="D217" s="24"/>
      <c r="E217" s="24"/>
      <c r="F217" s="24"/>
      <c r="G217" s="24"/>
      <c r="H217" s="24"/>
      <c r="I217" s="24"/>
      <c r="J217" s="24"/>
      <c r="K217" s="26"/>
      <c r="L217" s="26"/>
      <c r="M217" s="26"/>
      <c r="N217" s="79"/>
      <c r="O217" s="22"/>
      <c r="P217" s="22"/>
      <c r="Q217" s="91"/>
      <c r="R217" s="88"/>
    </row>
    <row r="218" spans="1:18" s="18" customFormat="1" x14ac:dyDescent="0.2">
      <c r="A218" s="23"/>
      <c r="B218" s="97"/>
      <c r="C218" s="97"/>
      <c r="D218" s="24"/>
      <c r="E218" s="24"/>
      <c r="F218" s="24"/>
      <c r="G218" s="24"/>
      <c r="H218" s="24"/>
      <c r="I218" s="24"/>
      <c r="J218" s="24"/>
      <c r="K218" s="26"/>
      <c r="L218" s="26"/>
      <c r="M218" s="26"/>
      <c r="N218" s="79"/>
      <c r="O218" s="22"/>
      <c r="P218" s="22"/>
      <c r="Q218" s="91"/>
      <c r="R218" s="88"/>
    </row>
    <row r="219" spans="1:18" s="18" customFormat="1" x14ac:dyDescent="0.2">
      <c r="A219" s="23"/>
      <c r="B219" s="97"/>
      <c r="C219" s="97"/>
      <c r="D219" s="24"/>
      <c r="E219" s="24"/>
      <c r="F219" s="24"/>
      <c r="G219" s="24"/>
      <c r="H219" s="24"/>
      <c r="I219" s="24"/>
      <c r="J219" s="24"/>
      <c r="K219" s="26"/>
      <c r="L219" s="26"/>
      <c r="M219" s="26"/>
      <c r="N219" s="79"/>
      <c r="O219" s="22"/>
      <c r="P219" s="22"/>
      <c r="Q219" s="91"/>
      <c r="R219" s="88"/>
    </row>
    <row r="220" spans="1:18" s="18" customFormat="1" x14ac:dyDescent="0.2">
      <c r="A220" s="23"/>
      <c r="B220" s="97"/>
      <c r="C220" s="97"/>
      <c r="D220" s="24"/>
      <c r="E220" s="24"/>
      <c r="F220" s="24"/>
      <c r="G220" s="24"/>
      <c r="H220" s="24"/>
      <c r="I220" s="24"/>
      <c r="J220" s="24"/>
      <c r="K220" s="26"/>
      <c r="L220" s="26"/>
      <c r="M220" s="26"/>
      <c r="N220" s="79"/>
      <c r="O220" s="22"/>
      <c r="P220" s="22"/>
      <c r="Q220" s="91"/>
      <c r="R220" s="88"/>
    </row>
    <row r="221" spans="1:18" s="18" customFormat="1" x14ac:dyDescent="0.2">
      <c r="A221" s="23"/>
      <c r="B221" s="97"/>
      <c r="C221" s="97"/>
      <c r="D221" s="24"/>
      <c r="E221" s="24"/>
      <c r="F221" s="24"/>
      <c r="G221" s="24"/>
      <c r="H221" s="24"/>
      <c r="I221" s="24"/>
      <c r="J221" s="24"/>
      <c r="K221" s="26"/>
      <c r="L221" s="26"/>
      <c r="M221" s="26"/>
      <c r="N221" s="79"/>
      <c r="O221" s="22"/>
      <c r="P221" s="22"/>
      <c r="Q221" s="91"/>
      <c r="R221" s="88"/>
    </row>
    <row r="222" spans="1:18" s="18" customFormat="1" x14ac:dyDescent="0.2">
      <c r="A222" s="23"/>
      <c r="B222" s="97"/>
      <c r="C222" s="97"/>
      <c r="D222" s="24"/>
      <c r="E222" s="24"/>
      <c r="F222" s="24"/>
      <c r="G222" s="24"/>
      <c r="H222" s="24"/>
      <c r="I222" s="24"/>
      <c r="J222" s="24"/>
      <c r="K222" s="26"/>
      <c r="L222" s="26"/>
      <c r="M222" s="26"/>
      <c r="N222" s="79"/>
      <c r="O222" s="22"/>
      <c r="P222" s="22"/>
      <c r="Q222" s="91"/>
      <c r="R222" s="88"/>
    </row>
    <row r="223" spans="1:18" s="18" customFormat="1" x14ac:dyDescent="0.2">
      <c r="A223" s="23"/>
      <c r="B223" s="97"/>
      <c r="C223" s="97"/>
      <c r="D223" s="24"/>
      <c r="E223" s="24"/>
      <c r="F223" s="24"/>
      <c r="G223" s="24"/>
      <c r="H223" s="24"/>
      <c r="I223" s="24"/>
      <c r="J223" s="24"/>
      <c r="K223" s="26"/>
      <c r="L223" s="26"/>
      <c r="M223" s="26"/>
      <c r="N223" s="79"/>
      <c r="O223" s="22"/>
      <c r="P223" s="22"/>
      <c r="Q223" s="91"/>
      <c r="R223" s="88"/>
    </row>
    <row r="224" spans="1:18" s="18" customFormat="1" x14ac:dyDescent="0.2">
      <c r="A224" s="23"/>
      <c r="B224" s="97"/>
      <c r="C224" s="97"/>
      <c r="D224" s="24"/>
      <c r="E224" s="24"/>
      <c r="F224" s="24"/>
      <c r="G224" s="24"/>
      <c r="H224" s="24"/>
      <c r="I224" s="24"/>
      <c r="J224" s="24"/>
      <c r="K224" s="26"/>
      <c r="L224" s="26"/>
      <c r="M224" s="26"/>
      <c r="N224" s="79"/>
      <c r="O224" s="22"/>
      <c r="P224" s="22"/>
      <c r="Q224" s="91"/>
      <c r="R224" s="88"/>
    </row>
    <row r="225" spans="1:18" s="18" customFormat="1" x14ac:dyDescent="0.2">
      <c r="A225" s="23"/>
      <c r="B225" s="97"/>
      <c r="C225" s="97"/>
      <c r="D225" s="24"/>
      <c r="E225" s="24"/>
      <c r="F225" s="24"/>
      <c r="G225" s="24"/>
      <c r="H225" s="24"/>
      <c r="I225" s="24"/>
      <c r="J225" s="24"/>
      <c r="K225" s="26"/>
      <c r="L225" s="26"/>
      <c r="M225" s="26"/>
      <c r="N225" s="79"/>
      <c r="O225" s="22"/>
      <c r="P225" s="22"/>
      <c r="Q225" s="91"/>
      <c r="R225" s="88"/>
    </row>
    <row r="226" spans="1:18" s="18" customFormat="1" x14ac:dyDescent="0.2">
      <c r="A226" s="23"/>
      <c r="B226" s="97"/>
      <c r="C226" s="97"/>
      <c r="D226" s="24"/>
      <c r="E226" s="24"/>
      <c r="F226" s="24"/>
      <c r="G226" s="24"/>
      <c r="H226" s="24"/>
      <c r="I226" s="24"/>
      <c r="J226" s="24"/>
      <c r="K226" s="26"/>
      <c r="L226" s="26"/>
      <c r="M226" s="26"/>
      <c r="N226" s="79"/>
      <c r="O226" s="22"/>
      <c r="P226" s="22"/>
      <c r="Q226" s="91"/>
      <c r="R226" s="88"/>
    </row>
    <row r="227" spans="1:18" s="18" customFormat="1" x14ac:dyDescent="0.2">
      <c r="A227" s="23"/>
      <c r="B227" s="97"/>
      <c r="C227" s="97"/>
      <c r="D227" s="24"/>
      <c r="E227" s="24"/>
      <c r="F227" s="24"/>
      <c r="G227" s="24"/>
      <c r="H227" s="24"/>
      <c r="I227" s="24"/>
      <c r="J227" s="24"/>
      <c r="K227" s="26"/>
      <c r="L227" s="26"/>
      <c r="M227" s="26"/>
      <c r="N227" s="79"/>
      <c r="O227" s="22"/>
      <c r="P227" s="22"/>
      <c r="Q227" s="91"/>
      <c r="R227" s="88"/>
    </row>
    <row r="228" spans="1:18" s="18" customFormat="1" x14ac:dyDescent="0.2">
      <c r="A228" s="23"/>
      <c r="B228" s="97"/>
      <c r="C228" s="97"/>
      <c r="D228" s="24"/>
      <c r="E228" s="24"/>
      <c r="F228" s="24"/>
      <c r="G228" s="24"/>
      <c r="H228" s="24"/>
      <c r="I228" s="24"/>
      <c r="J228" s="24"/>
      <c r="K228" s="26"/>
      <c r="L228" s="26"/>
      <c r="M228" s="26"/>
      <c r="N228" s="79"/>
      <c r="O228" s="22"/>
      <c r="P228" s="22"/>
      <c r="Q228" s="91"/>
      <c r="R228" s="88"/>
    </row>
    <row r="229" spans="1:18" s="18" customFormat="1" x14ac:dyDescent="0.2">
      <c r="A229" s="23"/>
      <c r="B229" s="97"/>
      <c r="C229" s="97"/>
      <c r="D229" s="24"/>
      <c r="E229" s="24"/>
      <c r="F229" s="24"/>
      <c r="G229" s="24"/>
      <c r="H229" s="24"/>
      <c r="I229" s="24"/>
      <c r="J229" s="24"/>
      <c r="K229" s="26"/>
      <c r="L229" s="26"/>
      <c r="M229" s="26"/>
      <c r="N229" s="79"/>
      <c r="O229" s="22"/>
      <c r="P229" s="22"/>
      <c r="Q229" s="91"/>
      <c r="R229" s="88"/>
    </row>
    <row r="230" spans="1:18" s="18" customFormat="1" x14ac:dyDescent="0.2">
      <c r="A230" s="23"/>
      <c r="B230" s="97"/>
      <c r="C230" s="97"/>
      <c r="D230" s="24"/>
      <c r="E230" s="24"/>
      <c r="F230" s="24"/>
      <c r="G230" s="24"/>
      <c r="H230" s="24"/>
      <c r="I230" s="24"/>
      <c r="J230" s="24"/>
      <c r="K230" s="36"/>
      <c r="L230" s="26"/>
      <c r="M230" s="26"/>
      <c r="N230" s="79"/>
      <c r="O230" s="36"/>
      <c r="P230" s="36"/>
      <c r="Q230" s="91"/>
      <c r="R230" s="88"/>
    </row>
    <row r="231" spans="1:18" s="18" customFormat="1" x14ac:dyDescent="0.2">
      <c r="A231" s="23"/>
      <c r="B231" s="97"/>
      <c r="C231" s="97"/>
      <c r="D231" s="24"/>
      <c r="E231" s="24"/>
      <c r="F231" s="24"/>
      <c r="G231" s="24"/>
      <c r="H231" s="24"/>
      <c r="I231" s="24"/>
      <c r="J231" s="24"/>
      <c r="K231" s="26"/>
      <c r="L231" s="26"/>
      <c r="M231" s="26"/>
      <c r="N231" s="79"/>
      <c r="O231" s="22"/>
      <c r="P231" s="22"/>
      <c r="Q231" s="91"/>
      <c r="R231" s="88"/>
    </row>
    <row r="232" spans="1:18" s="18" customFormat="1" x14ac:dyDescent="0.2">
      <c r="A232" s="23"/>
      <c r="B232" s="97"/>
      <c r="C232" s="97"/>
      <c r="D232" s="24"/>
      <c r="E232" s="24"/>
      <c r="F232" s="24"/>
      <c r="G232" s="24"/>
      <c r="H232" s="24"/>
      <c r="I232" s="24"/>
      <c r="J232" s="24"/>
      <c r="K232" s="26"/>
      <c r="L232" s="26"/>
      <c r="M232" s="26"/>
      <c r="N232" s="79"/>
      <c r="O232" s="22"/>
      <c r="P232" s="22"/>
      <c r="Q232" s="91"/>
      <c r="R232" s="88"/>
    </row>
    <row r="233" spans="1:18" s="18" customFormat="1" x14ac:dyDescent="0.2">
      <c r="A233" s="23"/>
      <c r="B233" s="97"/>
      <c r="C233" s="97"/>
      <c r="D233" s="24"/>
      <c r="E233" s="24"/>
      <c r="F233" s="24"/>
      <c r="G233" s="24"/>
      <c r="H233" s="24"/>
      <c r="I233" s="24"/>
      <c r="J233" s="24"/>
      <c r="K233" s="36"/>
      <c r="L233" s="26"/>
      <c r="M233" s="36"/>
      <c r="N233" s="80"/>
      <c r="O233" s="81"/>
      <c r="P233" s="81"/>
      <c r="Q233" s="92"/>
      <c r="R233" s="89"/>
    </row>
    <row r="234" spans="1:18" s="18" customFormat="1" x14ac:dyDescent="0.2">
      <c r="A234" s="23"/>
      <c r="B234" s="97"/>
      <c r="C234" s="97"/>
      <c r="D234" s="24"/>
      <c r="E234" s="24"/>
      <c r="F234" s="24"/>
      <c r="G234" s="24"/>
      <c r="H234" s="24"/>
      <c r="I234" s="24"/>
      <c r="J234" s="24"/>
      <c r="K234" s="26"/>
      <c r="L234" s="26"/>
      <c r="M234" s="26"/>
      <c r="N234" s="79"/>
      <c r="O234" s="22"/>
      <c r="P234" s="22"/>
      <c r="Q234" s="91"/>
      <c r="R234" s="88"/>
    </row>
    <row r="235" spans="1:18" s="18" customFormat="1" x14ac:dyDescent="0.2">
      <c r="A235" s="23"/>
      <c r="B235" s="97"/>
      <c r="C235" s="97"/>
      <c r="D235" s="24"/>
      <c r="E235" s="24"/>
      <c r="F235" s="24"/>
      <c r="G235" s="24"/>
      <c r="H235" s="24"/>
      <c r="I235" s="24"/>
      <c r="J235" s="24"/>
      <c r="K235" s="26"/>
      <c r="L235" s="26"/>
      <c r="M235" s="26"/>
      <c r="N235" s="79"/>
      <c r="O235" s="22"/>
      <c r="P235" s="22"/>
      <c r="Q235" s="91"/>
      <c r="R235" s="88"/>
    </row>
    <row r="236" spans="1:18" s="18" customFormat="1" x14ac:dyDescent="0.2">
      <c r="A236" s="23"/>
      <c r="B236" s="97"/>
      <c r="C236" s="97"/>
      <c r="D236" s="24"/>
      <c r="E236" s="24"/>
      <c r="F236" s="24"/>
      <c r="G236" s="24"/>
      <c r="H236" s="24"/>
      <c r="I236" s="24"/>
      <c r="J236" s="24"/>
      <c r="K236" s="36"/>
      <c r="L236" s="36"/>
      <c r="M236" s="36"/>
      <c r="N236" s="80"/>
      <c r="O236" s="81"/>
      <c r="P236" s="81"/>
      <c r="Q236" s="92"/>
      <c r="R236" s="89"/>
    </row>
    <row r="237" spans="1:18" s="18" customFormat="1" x14ac:dyDescent="0.2">
      <c r="A237" s="23"/>
      <c r="B237" s="97"/>
      <c r="C237" s="97"/>
      <c r="D237" s="24"/>
      <c r="E237" s="24"/>
      <c r="F237" s="24"/>
      <c r="G237" s="24"/>
      <c r="H237" s="24"/>
      <c r="I237" s="24"/>
      <c r="J237" s="24"/>
      <c r="K237" s="26"/>
      <c r="L237" s="26"/>
      <c r="M237" s="26"/>
      <c r="N237" s="79"/>
      <c r="O237" s="22"/>
      <c r="P237" s="22"/>
      <c r="Q237" s="91"/>
      <c r="R237" s="88"/>
    </row>
    <row r="238" spans="1:18" s="18" customFormat="1" x14ac:dyDescent="0.2">
      <c r="A238" s="23"/>
      <c r="B238" s="97"/>
      <c r="C238" s="97"/>
      <c r="D238" s="24"/>
      <c r="E238" s="24"/>
      <c r="F238" s="24"/>
      <c r="G238" s="24"/>
      <c r="H238" s="24"/>
      <c r="I238" s="24"/>
      <c r="J238" s="24"/>
      <c r="K238" s="26"/>
      <c r="L238" s="26"/>
      <c r="M238" s="26"/>
      <c r="N238" s="79"/>
      <c r="O238" s="22"/>
      <c r="P238" s="22"/>
      <c r="Q238" s="91"/>
      <c r="R238" s="88"/>
    </row>
    <row r="239" spans="1:18" s="18" customFormat="1" x14ac:dyDescent="0.2">
      <c r="A239" s="23"/>
      <c r="B239" s="97"/>
      <c r="C239" s="97"/>
      <c r="D239" s="24"/>
      <c r="E239" s="24"/>
      <c r="F239" s="24"/>
      <c r="G239" s="24"/>
      <c r="H239" s="24"/>
      <c r="I239" s="24"/>
      <c r="J239" s="24"/>
      <c r="K239" s="26"/>
      <c r="L239" s="26"/>
      <c r="M239" s="26"/>
      <c r="N239" s="79"/>
      <c r="O239" s="22"/>
      <c r="P239" s="22"/>
      <c r="Q239" s="91"/>
      <c r="R239" s="88"/>
    </row>
    <row r="240" spans="1:18" s="18" customFormat="1" x14ac:dyDescent="0.2">
      <c r="A240" s="23"/>
      <c r="B240" s="97"/>
      <c r="C240" s="97"/>
      <c r="D240" s="24"/>
      <c r="E240" s="24"/>
      <c r="F240" s="24"/>
      <c r="G240" s="24"/>
      <c r="H240" s="24"/>
      <c r="I240" s="24"/>
      <c r="J240" s="24"/>
      <c r="K240" s="26"/>
      <c r="L240" s="26"/>
      <c r="M240" s="26"/>
      <c r="N240" s="79"/>
      <c r="O240" s="22"/>
      <c r="P240" s="22"/>
      <c r="Q240" s="91"/>
      <c r="R240" s="88"/>
    </row>
    <row r="241" spans="1:18" s="18" customFormat="1" x14ac:dyDescent="0.2">
      <c r="A241" s="23"/>
      <c r="B241" s="97"/>
      <c r="C241" s="97"/>
      <c r="D241" s="24"/>
      <c r="E241" s="24"/>
      <c r="F241" s="24"/>
      <c r="G241" s="24"/>
      <c r="H241" s="24"/>
      <c r="I241" s="24"/>
      <c r="J241" s="24"/>
      <c r="K241" s="26"/>
      <c r="L241" s="26"/>
      <c r="M241" s="26"/>
      <c r="N241" s="79"/>
      <c r="O241" s="22"/>
      <c r="P241" s="22"/>
      <c r="Q241" s="91"/>
      <c r="R241" s="88"/>
    </row>
    <row r="242" spans="1:18" s="18" customFormat="1" x14ac:dyDescent="0.2">
      <c r="A242" s="23"/>
      <c r="B242" s="97"/>
      <c r="C242" s="97"/>
      <c r="D242" s="24"/>
      <c r="E242" s="24"/>
      <c r="F242" s="24"/>
      <c r="G242" s="24"/>
      <c r="H242" s="24"/>
      <c r="I242" s="24"/>
      <c r="J242" s="24"/>
      <c r="K242" s="26"/>
      <c r="L242" s="26"/>
      <c r="M242" s="26"/>
      <c r="N242" s="79"/>
      <c r="O242" s="22"/>
      <c r="P242" s="22"/>
      <c r="Q242" s="91"/>
      <c r="R242" s="88"/>
    </row>
    <row r="243" spans="1:18" s="18" customFormat="1" x14ac:dyDescent="0.2">
      <c r="A243" s="23"/>
      <c r="B243" s="97"/>
      <c r="C243" s="97"/>
      <c r="D243" s="24"/>
      <c r="E243" s="24"/>
      <c r="F243" s="24"/>
      <c r="G243" s="24"/>
      <c r="H243" s="24"/>
      <c r="I243" s="24"/>
      <c r="J243" s="24"/>
      <c r="K243" s="26"/>
      <c r="L243" s="26"/>
      <c r="M243" s="26"/>
      <c r="N243" s="79"/>
      <c r="O243" s="22"/>
      <c r="P243" s="22"/>
      <c r="Q243" s="91"/>
      <c r="R243" s="88"/>
    </row>
    <row r="244" spans="1:18" s="18" customFormat="1" x14ac:dyDescent="0.2">
      <c r="A244" s="23"/>
      <c r="B244" s="97"/>
      <c r="C244" s="97"/>
      <c r="D244" s="24"/>
      <c r="E244" s="24"/>
      <c r="F244" s="24"/>
      <c r="G244" s="24"/>
      <c r="H244" s="24"/>
      <c r="I244" s="24"/>
      <c r="J244" s="24"/>
      <c r="K244" s="26"/>
      <c r="L244" s="26"/>
      <c r="M244" s="26"/>
      <c r="N244" s="79"/>
      <c r="O244" s="22"/>
      <c r="P244" s="22"/>
      <c r="Q244" s="91"/>
      <c r="R244" s="88"/>
    </row>
    <row r="245" spans="1:18" s="18" customFormat="1" x14ac:dyDescent="0.2">
      <c r="A245" s="23"/>
      <c r="B245" s="97"/>
      <c r="C245" s="97"/>
      <c r="D245" s="24"/>
      <c r="E245" s="24"/>
      <c r="F245" s="24"/>
      <c r="G245" s="24"/>
      <c r="H245" s="24"/>
      <c r="I245" s="24"/>
      <c r="J245" s="24"/>
      <c r="K245" s="26"/>
      <c r="L245" s="26"/>
      <c r="M245" s="26"/>
      <c r="N245" s="79"/>
      <c r="O245" s="22"/>
      <c r="P245" s="22"/>
      <c r="Q245" s="91"/>
      <c r="R245" s="88"/>
    </row>
    <row r="246" spans="1:18" s="18" customFormat="1" x14ac:dyDescent="0.2">
      <c r="A246" s="23"/>
      <c r="B246" s="97"/>
      <c r="C246" s="97"/>
      <c r="D246" s="24"/>
      <c r="E246" s="24"/>
      <c r="F246" s="24"/>
      <c r="G246" s="24"/>
      <c r="H246" s="24"/>
      <c r="I246" s="24"/>
      <c r="J246" s="24"/>
      <c r="K246" s="26"/>
      <c r="L246" s="26"/>
      <c r="M246" s="26"/>
      <c r="N246" s="79"/>
      <c r="O246" s="22"/>
      <c r="P246" s="22"/>
      <c r="Q246" s="91"/>
      <c r="R246" s="88"/>
    </row>
    <row r="247" spans="1:18" s="18" customFormat="1" x14ac:dyDescent="0.2">
      <c r="A247" s="23"/>
      <c r="B247" s="97"/>
      <c r="C247" s="97"/>
      <c r="D247" s="24"/>
      <c r="E247" s="24"/>
      <c r="F247" s="24"/>
      <c r="G247" s="24"/>
      <c r="H247" s="24"/>
      <c r="I247" s="24"/>
      <c r="J247" s="24"/>
      <c r="K247" s="26"/>
      <c r="L247" s="26"/>
      <c r="M247" s="26"/>
      <c r="N247" s="79"/>
      <c r="O247" s="22"/>
      <c r="P247" s="22"/>
      <c r="Q247" s="91"/>
      <c r="R247" s="88"/>
    </row>
    <row r="248" spans="1:18" s="18" customFormat="1" x14ac:dyDescent="0.2">
      <c r="A248" s="23"/>
      <c r="B248" s="97"/>
      <c r="C248" s="97"/>
      <c r="D248" s="24"/>
      <c r="E248" s="24"/>
      <c r="F248" s="24"/>
      <c r="G248" s="24"/>
      <c r="H248" s="24"/>
      <c r="I248" s="24"/>
      <c r="J248" s="24"/>
      <c r="K248" s="26"/>
      <c r="L248" s="26"/>
      <c r="M248" s="26"/>
      <c r="N248" s="79"/>
      <c r="O248" s="22"/>
      <c r="P248" s="22"/>
      <c r="Q248" s="91"/>
      <c r="R248" s="88"/>
    </row>
    <row r="249" spans="1:18" s="18" customFormat="1" x14ac:dyDescent="0.2">
      <c r="A249" s="23"/>
      <c r="B249" s="97"/>
      <c r="C249" s="97"/>
      <c r="D249" s="24"/>
      <c r="E249" s="24"/>
      <c r="F249" s="24"/>
      <c r="G249" s="24"/>
      <c r="H249" s="24"/>
      <c r="I249" s="24"/>
      <c r="J249" s="24"/>
      <c r="K249" s="26"/>
      <c r="L249" s="26"/>
      <c r="M249" s="26"/>
      <c r="N249" s="79"/>
      <c r="O249" s="22"/>
      <c r="P249" s="22"/>
      <c r="Q249" s="91"/>
      <c r="R249" s="88"/>
    </row>
    <row r="250" spans="1:18" s="18" customFormat="1" x14ac:dyDescent="0.2">
      <c r="A250" s="23"/>
      <c r="B250" s="97"/>
      <c r="C250" s="97"/>
      <c r="D250" s="24"/>
      <c r="E250" s="24"/>
      <c r="F250" s="24"/>
      <c r="G250" s="24"/>
      <c r="H250" s="24"/>
      <c r="I250" s="24"/>
      <c r="J250" s="24"/>
      <c r="K250" s="26"/>
      <c r="L250" s="26"/>
      <c r="M250" s="26"/>
      <c r="N250" s="79"/>
      <c r="O250" s="22"/>
      <c r="P250" s="22"/>
      <c r="Q250" s="91"/>
      <c r="R250" s="88"/>
    </row>
    <row r="251" spans="1:18" s="18" customFormat="1" x14ac:dyDescent="0.2">
      <c r="A251" s="23"/>
      <c r="B251" s="97"/>
      <c r="C251" s="97"/>
      <c r="D251" s="24"/>
      <c r="E251" s="24"/>
      <c r="F251" s="24"/>
      <c r="G251" s="24"/>
      <c r="H251" s="24"/>
      <c r="I251" s="24"/>
      <c r="J251" s="24"/>
      <c r="K251" s="26"/>
      <c r="L251" s="26"/>
      <c r="M251" s="26"/>
      <c r="N251" s="79"/>
      <c r="O251" s="22"/>
      <c r="P251" s="22"/>
      <c r="Q251" s="91"/>
      <c r="R251" s="88"/>
    </row>
    <row r="252" spans="1:18" s="18" customFormat="1" x14ac:dyDescent="0.2">
      <c r="A252" s="23"/>
      <c r="B252" s="97"/>
      <c r="C252" s="97"/>
      <c r="D252" s="24"/>
      <c r="E252" s="24"/>
      <c r="F252" s="24"/>
      <c r="G252" s="24"/>
      <c r="H252" s="24"/>
      <c r="I252" s="24"/>
      <c r="J252" s="24"/>
      <c r="K252" s="36"/>
      <c r="L252" s="36"/>
      <c r="M252" s="26"/>
      <c r="N252" s="80"/>
      <c r="O252" s="81"/>
      <c r="P252" s="81"/>
      <c r="Q252" s="92"/>
      <c r="R252" s="89"/>
    </row>
    <row r="253" spans="1:18" s="18" customFormat="1" x14ac:dyDescent="0.2">
      <c r="A253" s="23"/>
      <c r="B253" s="97"/>
      <c r="C253" s="97"/>
      <c r="D253" s="24"/>
      <c r="E253" s="24"/>
      <c r="F253" s="24"/>
      <c r="G253" s="24"/>
      <c r="H253" s="24"/>
      <c r="I253" s="24"/>
      <c r="J253" s="24"/>
      <c r="K253" s="26"/>
      <c r="L253" s="26"/>
      <c r="M253" s="26"/>
      <c r="N253" s="79"/>
      <c r="O253" s="22"/>
      <c r="P253" s="22"/>
      <c r="Q253" s="91"/>
      <c r="R253" s="88"/>
    </row>
    <row r="254" spans="1:18" s="18" customFormat="1" x14ac:dyDescent="0.2">
      <c r="A254" s="23"/>
      <c r="B254" s="97"/>
      <c r="C254" s="97"/>
      <c r="D254" s="24"/>
      <c r="E254" s="24"/>
      <c r="F254" s="24"/>
      <c r="G254" s="24"/>
      <c r="H254" s="24"/>
      <c r="I254" s="24"/>
      <c r="J254" s="24"/>
      <c r="K254" s="26"/>
      <c r="L254" s="26"/>
      <c r="M254" s="26"/>
      <c r="N254" s="79"/>
      <c r="O254" s="22"/>
      <c r="P254" s="22"/>
      <c r="Q254" s="91"/>
      <c r="R254" s="88"/>
    </row>
    <row r="255" spans="1:18" s="18" customFormat="1" x14ac:dyDescent="0.2">
      <c r="A255" s="23"/>
      <c r="B255" s="97"/>
      <c r="C255" s="97"/>
      <c r="D255" s="24"/>
      <c r="E255" s="24"/>
      <c r="F255" s="24"/>
      <c r="G255" s="24"/>
      <c r="H255" s="24"/>
      <c r="I255" s="24"/>
      <c r="J255" s="24"/>
      <c r="K255" s="26"/>
      <c r="L255" s="26"/>
      <c r="M255" s="26"/>
      <c r="N255" s="79"/>
      <c r="O255" s="22"/>
      <c r="P255" s="22"/>
      <c r="Q255" s="91"/>
      <c r="R255" s="88"/>
    </row>
    <row r="256" spans="1:18" s="18" customFormat="1" x14ac:dyDescent="0.2">
      <c r="A256" s="23"/>
      <c r="B256" s="97"/>
      <c r="C256" s="97"/>
      <c r="D256" s="24"/>
      <c r="E256" s="24"/>
      <c r="F256" s="24"/>
      <c r="G256" s="24"/>
      <c r="H256" s="24"/>
      <c r="I256" s="24"/>
      <c r="J256" s="24"/>
      <c r="K256" s="26"/>
      <c r="L256" s="26"/>
      <c r="M256" s="26"/>
      <c r="N256" s="79"/>
      <c r="O256" s="22"/>
      <c r="P256" s="22"/>
      <c r="Q256" s="91"/>
      <c r="R256" s="88"/>
    </row>
    <row r="257" spans="1:18" s="18" customFormat="1" x14ac:dyDescent="0.2">
      <c r="A257" s="23"/>
      <c r="B257" s="97"/>
      <c r="C257" s="97"/>
      <c r="D257" s="24"/>
      <c r="E257" s="24"/>
      <c r="F257" s="24"/>
      <c r="G257" s="24"/>
      <c r="H257" s="24"/>
      <c r="I257" s="24"/>
      <c r="J257" s="24"/>
      <c r="K257" s="26"/>
      <c r="L257" s="26"/>
      <c r="M257" s="26"/>
      <c r="N257" s="79"/>
      <c r="O257" s="22"/>
      <c r="P257" s="22"/>
      <c r="Q257" s="91"/>
      <c r="R257" s="88"/>
    </row>
    <row r="258" spans="1:18" s="18" customFormat="1" x14ac:dyDescent="0.2">
      <c r="A258" s="23"/>
      <c r="B258" s="97"/>
      <c r="C258" s="97"/>
      <c r="D258" s="24"/>
      <c r="E258" s="24"/>
      <c r="F258" s="24"/>
      <c r="G258" s="24"/>
      <c r="H258" s="24"/>
      <c r="I258" s="24"/>
      <c r="J258" s="24"/>
      <c r="K258" s="26"/>
      <c r="L258" s="26"/>
      <c r="M258" s="26"/>
      <c r="N258" s="79"/>
      <c r="O258" s="22"/>
      <c r="P258" s="22"/>
      <c r="Q258" s="91"/>
      <c r="R258" s="88"/>
    </row>
    <row r="259" spans="1:18" s="18" customFormat="1" x14ac:dyDescent="0.2">
      <c r="A259" s="23"/>
      <c r="B259" s="97"/>
      <c r="C259" s="97"/>
      <c r="D259" s="24"/>
      <c r="E259" s="24"/>
      <c r="F259" s="24"/>
      <c r="G259" s="24"/>
      <c r="H259" s="24"/>
      <c r="I259" s="24"/>
      <c r="J259" s="24"/>
      <c r="K259" s="26"/>
      <c r="L259" s="26"/>
      <c r="M259" s="26"/>
      <c r="N259" s="79"/>
      <c r="O259" s="22"/>
      <c r="P259" s="22"/>
      <c r="Q259" s="91"/>
      <c r="R259" s="88"/>
    </row>
    <row r="260" spans="1:18" s="18" customFormat="1" x14ac:dyDescent="0.2">
      <c r="A260" s="23"/>
      <c r="B260" s="97"/>
      <c r="C260" s="97"/>
      <c r="D260" s="24"/>
      <c r="E260" s="24"/>
      <c r="F260" s="24"/>
      <c r="G260" s="24"/>
      <c r="H260" s="24"/>
      <c r="I260" s="24"/>
      <c r="J260" s="24"/>
      <c r="K260" s="26"/>
      <c r="L260" s="26"/>
      <c r="M260" s="26"/>
      <c r="N260" s="79"/>
      <c r="O260" s="22"/>
      <c r="P260" s="22"/>
      <c r="Q260" s="91"/>
      <c r="R260" s="88"/>
    </row>
    <row r="261" spans="1:18" s="18" customFormat="1" x14ac:dyDescent="0.2">
      <c r="A261" s="23"/>
      <c r="B261" s="97"/>
      <c r="C261" s="97"/>
      <c r="D261" s="24"/>
      <c r="E261" s="24"/>
      <c r="F261" s="24"/>
      <c r="G261" s="24"/>
      <c r="H261" s="24"/>
      <c r="I261" s="24"/>
      <c r="J261" s="24"/>
      <c r="K261" s="26"/>
      <c r="L261" s="26"/>
      <c r="M261" s="26"/>
      <c r="N261" s="79"/>
      <c r="O261" s="22"/>
      <c r="P261" s="22"/>
      <c r="Q261" s="91"/>
      <c r="R261" s="88"/>
    </row>
    <row r="262" spans="1:18" s="18" customFormat="1" x14ac:dyDescent="0.2">
      <c r="A262" s="23"/>
      <c r="B262" s="97"/>
      <c r="C262" s="97"/>
      <c r="D262" s="24"/>
      <c r="E262" s="24"/>
      <c r="F262" s="24"/>
      <c r="G262" s="24"/>
      <c r="H262" s="24"/>
      <c r="I262" s="24"/>
      <c r="J262" s="24"/>
      <c r="K262" s="68"/>
      <c r="L262" s="26"/>
      <c r="M262" s="68"/>
      <c r="N262" s="68"/>
      <c r="O262" s="81"/>
      <c r="P262" s="81"/>
      <c r="Q262" s="91"/>
      <c r="R262" s="88"/>
    </row>
    <row r="263" spans="1:18" s="18" customFormat="1" x14ac:dyDescent="0.2">
      <c r="A263" s="23"/>
      <c r="B263" s="97"/>
      <c r="C263" s="97"/>
      <c r="D263" s="24"/>
      <c r="E263" s="24"/>
      <c r="F263" s="24"/>
      <c r="G263" s="24"/>
      <c r="H263" s="24"/>
      <c r="I263" s="24"/>
      <c r="J263" s="24"/>
      <c r="K263" s="26"/>
      <c r="L263" s="26"/>
      <c r="M263" s="26"/>
      <c r="N263" s="79"/>
      <c r="O263" s="22"/>
      <c r="P263" s="22"/>
      <c r="Q263" s="91"/>
      <c r="R263" s="88"/>
    </row>
    <row r="264" spans="1:18" s="18" customFormat="1" x14ac:dyDescent="0.2">
      <c r="A264" s="23"/>
      <c r="B264" s="97"/>
      <c r="C264" s="97"/>
      <c r="D264" s="24"/>
      <c r="E264" s="24"/>
      <c r="F264" s="24"/>
      <c r="G264" s="24"/>
      <c r="H264" s="24"/>
      <c r="I264" s="24"/>
      <c r="J264" s="24"/>
      <c r="K264" s="26"/>
      <c r="L264" s="26"/>
      <c r="M264" s="26"/>
      <c r="N264" s="79"/>
      <c r="O264" s="22"/>
      <c r="P264" s="22"/>
      <c r="Q264" s="91"/>
      <c r="R264" s="88"/>
    </row>
    <row r="265" spans="1:18" s="18" customFormat="1" x14ac:dyDescent="0.2">
      <c r="A265" s="23"/>
      <c r="B265" s="97"/>
      <c r="C265" s="97"/>
      <c r="D265" s="24"/>
      <c r="E265" s="24"/>
      <c r="F265" s="24"/>
      <c r="G265" s="24"/>
      <c r="H265" s="24"/>
      <c r="I265" s="24"/>
      <c r="J265" s="24"/>
      <c r="K265" s="26"/>
      <c r="L265" s="26"/>
      <c r="M265" s="26"/>
      <c r="N265" s="79"/>
      <c r="O265" s="22"/>
      <c r="P265" s="22"/>
      <c r="Q265" s="91"/>
      <c r="R265" s="88"/>
    </row>
    <row r="266" spans="1:18" s="18" customFormat="1" x14ac:dyDescent="0.2">
      <c r="A266" s="23"/>
      <c r="B266" s="97"/>
      <c r="C266" s="97"/>
      <c r="D266" s="24"/>
      <c r="E266" s="24"/>
      <c r="F266" s="24"/>
      <c r="G266" s="24"/>
      <c r="H266" s="24"/>
      <c r="I266" s="24"/>
      <c r="J266" s="24"/>
      <c r="K266" s="26"/>
      <c r="L266" s="26"/>
      <c r="M266" s="26"/>
      <c r="N266" s="79"/>
      <c r="O266" s="22"/>
      <c r="P266" s="22"/>
      <c r="Q266" s="91"/>
      <c r="R266" s="88"/>
    </row>
    <row r="267" spans="1:18" s="18" customFormat="1" x14ac:dyDescent="0.2">
      <c r="A267" s="23"/>
      <c r="B267" s="97"/>
      <c r="C267" s="97"/>
      <c r="D267" s="24"/>
      <c r="E267" s="24"/>
      <c r="F267" s="24"/>
      <c r="G267" s="24"/>
      <c r="H267" s="24"/>
      <c r="I267" s="24"/>
      <c r="J267" s="24"/>
      <c r="K267" s="26"/>
      <c r="L267" s="26"/>
      <c r="M267" s="26"/>
      <c r="N267" s="79"/>
      <c r="O267" s="22"/>
      <c r="P267" s="22"/>
      <c r="Q267" s="91"/>
      <c r="R267" s="88"/>
    </row>
    <row r="268" spans="1:18" s="18" customFormat="1" x14ac:dyDescent="0.2">
      <c r="A268" s="23"/>
      <c r="B268" s="97"/>
      <c r="C268" s="97"/>
      <c r="D268" s="24"/>
      <c r="E268" s="24"/>
      <c r="F268" s="24"/>
      <c r="G268" s="24"/>
      <c r="H268" s="24"/>
      <c r="I268" s="24"/>
      <c r="J268" s="24"/>
      <c r="K268" s="26"/>
      <c r="L268" s="26"/>
      <c r="M268" s="26"/>
      <c r="N268" s="79"/>
      <c r="O268" s="22"/>
      <c r="P268" s="22"/>
      <c r="Q268" s="91"/>
      <c r="R268" s="88"/>
    </row>
    <row r="269" spans="1:18" s="18" customFormat="1" x14ac:dyDescent="0.2">
      <c r="A269" s="23"/>
      <c r="B269" s="97"/>
      <c r="C269" s="97"/>
      <c r="D269" s="24"/>
      <c r="E269" s="24"/>
      <c r="F269" s="24"/>
      <c r="G269" s="24"/>
      <c r="H269" s="24"/>
      <c r="I269" s="24"/>
      <c r="J269" s="24"/>
      <c r="K269" s="26"/>
      <c r="L269" s="26"/>
      <c r="M269" s="26"/>
      <c r="N269" s="79"/>
      <c r="O269" s="22"/>
      <c r="P269" s="22"/>
      <c r="Q269" s="91"/>
      <c r="R269" s="88"/>
    </row>
    <row r="270" spans="1:18" s="18" customFormat="1" x14ac:dyDescent="0.2">
      <c r="A270" s="23"/>
      <c r="B270" s="97"/>
      <c r="C270" s="97"/>
      <c r="D270" s="24"/>
      <c r="E270" s="24"/>
      <c r="F270" s="24"/>
      <c r="G270" s="24"/>
      <c r="H270" s="24"/>
      <c r="I270" s="24"/>
      <c r="J270" s="24"/>
      <c r="K270" s="26"/>
      <c r="L270" s="26"/>
      <c r="M270" s="26"/>
      <c r="N270" s="79"/>
      <c r="O270" s="22"/>
      <c r="P270" s="22"/>
      <c r="Q270" s="91"/>
      <c r="R270" s="88"/>
    </row>
    <row r="271" spans="1:18" s="18" customFormat="1" x14ac:dyDescent="0.2">
      <c r="A271" s="23"/>
      <c r="B271" s="97"/>
      <c r="C271" s="97"/>
      <c r="D271" s="24"/>
      <c r="E271" s="24"/>
      <c r="F271" s="24"/>
      <c r="G271" s="24"/>
      <c r="H271" s="24"/>
      <c r="I271" s="24"/>
      <c r="J271" s="24"/>
      <c r="K271" s="26"/>
      <c r="L271" s="26"/>
      <c r="M271" s="26"/>
      <c r="N271" s="79"/>
      <c r="O271" s="22"/>
      <c r="P271" s="22"/>
      <c r="Q271" s="91"/>
      <c r="R271" s="88"/>
    </row>
    <row r="272" spans="1:18" s="18" customFormat="1" x14ac:dyDescent="0.2">
      <c r="A272" s="23"/>
      <c r="B272" s="97"/>
      <c r="C272" s="97"/>
      <c r="D272" s="24"/>
      <c r="E272" s="24"/>
      <c r="F272" s="24"/>
      <c r="G272" s="24"/>
      <c r="H272" s="24"/>
      <c r="I272" s="24"/>
      <c r="J272" s="24"/>
      <c r="K272" s="26"/>
      <c r="L272" s="26"/>
      <c r="M272" s="26"/>
      <c r="N272" s="79"/>
      <c r="O272" s="22"/>
      <c r="P272" s="22"/>
      <c r="Q272" s="91"/>
      <c r="R272" s="88"/>
    </row>
    <row r="273" spans="1:18" s="18" customFormat="1" x14ac:dyDescent="0.2">
      <c r="A273" s="23"/>
      <c r="B273" s="97"/>
      <c r="C273" s="97"/>
      <c r="D273" s="24"/>
      <c r="E273" s="24"/>
      <c r="F273" s="24"/>
      <c r="G273" s="24"/>
      <c r="H273" s="24"/>
      <c r="I273" s="24"/>
      <c r="J273" s="24"/>
      <c r="K273" s="26"/>
      <c r="L273" s="26"/>
      <c r="M273" s="26"/>
      <c r="N273" s="79"/>
      <c r="O273" s="22"/>
      <c r="P273" s="22"/>
      <c r="Q273" s="91"/>
      <c r="R273" s="88"/>
    </row>
    <row r="274" spans="1:18" s="18" customFormat="1" x14ac:dyDescent="0.2">
      <c r="A274" s="23"/>
      <c r="B274" s="97"/>
      <c r="C274" s="97"/>
      <c r="D274" s="24"/>
      <c r="E274" s="24"/>
      <c r="F274" s="24"/>
      <c r="G274" s="24"/>
      <c r="H274" s="24"/>
      <c r="I274" s="24"/>
      <c r="J274" s="24"/>
      <c r="K274" s="26"/>
      <c r="L274" s="26"/>
      <c r="M274" s="26"/>
      <c r="N274" s="79"/>
      <c r="O274" s="22"/>
      <c r="P274" s="22"/>
      <c r="Q274" s="91"/>
      <c r="R274" s="88"/>
    </row>
    <row r="275" spans="1:18" s="18" customFormat="1" x14ac:dyDescent="0.2">
      <c r="A275" s="23"/>
      <c r="B275" s="97"/>
      <c r="C275" s="97"/>
      <c r="D275" s="24"/>
      <c r="E275" s="24"/>
      <c r="F275" s="24"/>
      <c r="G275" s="24"/>
      <c r="H275" s="24"/>
      <c r="I275" s="24"/>
      <c r="J275" s="24"/>
      <c r="K275" s="36"/>
      <c r="L275" s="36"/>
      <c r="M275" s="36"/>
      <c r="N275" s="80"/>
      <c r="O275" s="81"/>
      <c r="P275" s="81"/>
      <c r="Q275" s="92"/>
      <c r="R275" s="89"/>
    </row>
    <row r="276" spans="1:18" s="18" customFormat="1" x14ac:dyDescent="0.2">
      <c r="A276" s="23"/>
      <c r="B276" s="97"/>
      <c r="C276" s="97"/>
      <c r="D276" s="24"/>
      <c r="E276" s="24"/>
      <c r="F276" s="24"/>
      <c r="G276" s="24"/>
      <c r="H276" s="24"/>
      <c r="I276" s="24"/>
      <c r="J276" s="24"/>
      <c r="K276" s="26"/>
      <c r="L276" s="26"/>
      <c r="M276" s="26"/>
      <c r="N276" s="79"/>
      <c r="O276" s="22"/>
      <c r="P276" s="22"/>
      <c r="Q276" s="91"/>
      <c r="R276" s="88"/>
    </row>
    <row r="277" spans="1:18" s="18" customFormat="1" x14ac:dyDescent="0.2">
      <c r="A277" s="23"/>
      <c r="B277" s="97"/>
      <c r="C277" s="97"/>
      <c r="D277" s="24"/>
      <c r="E277" s="24"/>
      <c r="F277" s="24"/>
      <c r="G277" s="24"/>
      <c r="H277" s="24"/>
      <c r="I277" s="24"/>
      <c r="J277" s="24"/>
      <c r="K277" s="26"/>
      <c r="L277" s="26"/>
      <c r="M277" s="26"/>
      <c r="N277" s="79"/>
      <c r="O277" s="22"/>
      <c r="P277" s="22"/>
      <c r="Q277" s="91"/>
      <c r="R277" s="88"/>
    </row>
    <row r="278" spans="1:18" s="18" customFormat="1" x14ac:dyDescent="0.2">
      <c r="A278" s="23"/>
      <c r="B278" s="97"/>
      <c r="C278" s="97"/>
      <c r="D278" s="24"/>
      <c r="E278" s="24"/>
      <c r="F278" s="24"/>
      <c r="G278" s="24"/>
      <c r="H278" s="24"/>
      <c r="I278" s="24"/>
      <c r="J278" s="24"/>
      <c r="K278" s="26"/>
      <c r="L278" s="26"/>
      <c r="M278" s="26"/>
      <c r="N278" s="79"/>
      <c r="O278" s="22"/>
      <c r="P278" s="22"/>
      <c r="Q278" s="91"/>
      <c r="R278" s="88"/>
    </row>
    <row r="279" spans="1:18" s="18" customFormat="1" x14ac:dyDescent="0.2">
      <c r="A279" s="23"/>
      <c r="B279" s="97"/>
      <c r="C279" s="97"/>
      <c r="D279" s="24"/>
      <c r="E279" s="24"/>
      <c r="F279" s="24"/>
      <c r="G279" s="24"/>
      <c r="H279" s="24"/>
      <c r="I279" s="24"/>
      <c r="J279" s="24"/>
      <c r="K279" s="26"/>
      <c r="L279" s="26"/>
      <c r="M279" s="26"/>
      <c r="N279" s="79"/>
      <c r="O279" s="22"/>
      <c r="P279" s="22"/>
      <c r="Q279" s="91"/>
      <c r="R279" s="88"/>
    </row>
    <row r="280" spans="1:18" s="18" customFormat="1" x14ac:dyDescent="0.2">
      <c r="A280" s="23"/>
      <c r="B280" s="97"/>
      <c r="C280" s="97"/>
      <c r="D280" s="24"/>
      <c r="E280" s="24"/>
      <c r="F280" s="24"/>
      <c r="G280" s="24"/>
      <c r="H280" s="24"/>
      <c r="I280" s="24"/>
      <c r="J280" s="24"/>
      <c r="K280" s="26"/>
      <c r="L280" s="26"/>
      <c r="M280" s="26"/>
      <c r="N280" s="79"/>
      <c r="O280" s="22"/>
      <c r="P280" s="22"/>
      <c r="Q280" s="91"/>
      <c r="R280" s="88"/>
    </row>
    <row r="281" spans="1:18" s="18" customFormat="1" x14ac:dyDescent="0.2">
      <c r="A281" s="23"/>
      <c r="B281" s="97"/>
      <c r="C281" s="97"/>
      <c r="D281" s="24"/>
      <c r="E281" s="24"/>
      <c r="F281" s="24"/>
      <c r="G281" s="24"/>
      <c r="H281" s="24"/>
      <c r="I281" s="24"/>
      <c r="J281" s="24"/>
      <c r="K281" s="26"/>
      <c r="L281" s="26"/>
      <c r="M281" s="26"/>
      <c r="N281" s="79"/>
      <c r="O281" s="22"/>
      <c r="P281" s="22"/>
      <c r="Q281" s="91"/>
      <c r="R281" s="88"/>
    </row>
    <row r="282" spans="1:18" s="18" customFormat="1" x14ac:dyDescent="0.2">
      <c r="A282" s="23"/>
      <c r="B282" s="97"/>
      <c r="C282" s="97"/>
      <c r="D282" s="24"/>
      <c r="E282" s="24"/>
      <c r="F282" s="24"/>
      <c r="G282" s="24"/>
      <c r="H282" s="24"/>
      <c r="I282" s="24"/>
      <c r="J282" s="24"/>
      <c r="K282" s="26"/>
      <c r="L282" s="26"/>
      <c r="M282" s="26"/>
      <c r="N282" s="79"/>
      <c r="O282" s="22"/>
      <c r="P282" s="22"/>
      <c r="Q282" s="91"/>
      <c r="R282" s="88"/>
    </row>
    <row r="283" spans="1:18" s="18" customFormat="1" x14ac:dyDescent="0.2">
      <c r="A283" s="23"/>
      <c r="B283" s="97"/>
      <c r="C283" s="97"/>
      <c r="D283" s="24"/>
      <c r="E283" s="24"/>
      <c r="F283" s="24"/>
      <c r="G283" s="24"/>
      <c r="H283" s="24"/>
      <c r="I283" s="24"/>
      <c r="J283" s="24"/>
      <c r="K283" s="26"/>
      <c r="L283" s="26"/>
      <c r="M283" s="26"/>
      <c r="N283" s="79"/>
      <c r="O283" s="22"/>
      <c r="P283" s="22"/>
      <c r="Q283" s="91"/>
      <c r="R283" s="88"/>
    </row>
    <row r="284" spans="1:18" s="18" customFormat="1" x14ac:dyDescent="0.2">
      <c r="A284" s="23"/>
      <c r="B284" s="97"/>
      <c r="C284" s="97"/>
      <c r="D284" s="24"/>
      <c r="E284" s="24"/>
      <c r="F284" s="24"/>
      <c r="G284" s="24"/>
      <c r="H284" s="24"/>
      <c r="I284" s="24"/>
      <c r="J284" s="24"/>
      <c r="K284" s="26"/>
      <c r="L284" s="26"/>
      <c r="M284" s="26"/>
      <c r="N284" s="79"/>
      <c r="O284" s="22"/>
      <c r="P284" s="22"/>
      <c r="Q284" s="91"/>
      <c r="R284" s="88"/>
    </row>
    <row r="285" spans="1:18" s="18" customFormat="1" x14ac:dyDescent="0.2">
      <c r="A285" s="23"/>
      <c r="B285" s="97"/>
      <c r="C285" s="97"/>
      <c r="D285" s="24"/>
      <c r="E285" s="24"/>
      <c r="F285" s="24"/>
      <c r="G285" s="24"/>
      <c r="H285" s="24"/>
      <c r="I285" s="24"/>
      <c r="J285" s="24"/>
      <c r="K285" s="26"/>
      <c r="L285" s="26"/>
      <c r="M285" s="26"/>
      <c r="N285" s="79"/>
      <c r="O285" s="22"/>
      <c r="P285" s="22"/>
      <c r="Q285" s="91"/>
      <c r="R285" s="88"/>
    </row>
    <row r="286" spans="1:18" s="18" customFormat="1" x14ac:dyDescent="0.2">
      <c r="A286" s="23"/>
      <c r="B286" s="97"/>
      <c r="C286" s="97"/>
      <c r="D286" s="24"/>
      <c r="E286" s="24"/>
      <c r="F286" s="24"/>
      <c r="G286" s="24"/>
      <c r="H286" s="24"/>
      <c r="I286" s="24"/>
      <c r="J286" s="24"/>
      <c r="K286" s="26"/>
      <c r="L286" s="26"/>
      <c r="M286" s="26"/>
      <c r="N286" s="79"/>
      <c r="O286" s="22"/>
      <c r="P286" s="22"/>
      <c r="Q286" s="91"/>
      <c r="R286" s="88"/>
    </row>
    <row r="287" spans="1:18" s="18" customFormat="1" x14ac:dyDescent="0.2">
      <c r="A287" s="23"/>
      <c r="B287" s="97"/>
      <c r="C287" s="97"/>
      <c r="D287" s="24"/>
      <c r="E287" s="24"/>
      <c r="F287" s="24"/>
      <c r="G287" s="24"/>
      <c r="H287" s="24"/>
      <c r="I287" s="24"/>
      <c r="J287" s="24"/>
      <c r="K287" s="26"/>
      <c r="L287" s="26"/>
      <c r="M287" s="26"/>
      <c r="N287" s="79"/>
      <c r="O287" s="22"/>
      <c r="P287" s="22"/>
      <c r="Q287" s="91"/>
      <c r="R287" s="88"/>
    </row>
    <row r="288" spans="1:18" s="18" customFormat="1" x14ac:dyDescent="0.2">
      <c r="A288" s="23"/>
      <c r="B288" s="97"/>
      <c r="C288" s="97"/>
      <c r="D288" s="24"/>
      <c r="E288" s="24"/>
      <c r="F288" s="24"/>
      <c r="G288" s="24"/>
      <c r="H288" s="24"/>
      <c r="I288" s="24"/>
      <c r="J288" s="24"/>
      <c r="K288" s="26"/>
      <c r="L288" s="26"/>
      <c r="M288" s="26"/>
      <c r="N288" s="79"/>
      <c r="O288" s="22"/>
      <c r="P288" s="22"/>
      <c r="Q288" s="91"/>
      <c r="R288" s="88"/>
    </row>
    <row r="289" spans="1:18" s="18" customFormat="1" x14ac:dyDescent="0.2">
      <c r="A289" s="23"/>
      <c r="B289" s="97"/>
      <c r="C289" s="97"/>
      <c r="D289" s="24"/>
      <c r="E289" s="24"/>
      <c r="F289" s="24"/>
      <c r="G289" s="24"/>
      <c r="H289" s="24"/>
      <c r="I289" s="24"/>
      <c r="J289" s="24"/>
      <c r="K289" s="26"/>
      <c r="L289" s="26"/>
      <c r="M289" s="26"/>
      <c r="N289" s="79"/>
      <c r="O289" s="22"/>
      <c r="P289" s="22"/>
      <c r="Q289" s="91"/>
      <c r="R289" s="88"/>
    </row>
    <row r="290" spans="1:18" s="18" customFormat="1" x14ac:dyDescent="0.2">
      <c r="A290" s="23"/>
      <c r="B290" s="97"/>
      <c r="C290" s="97"/>
      <c r="D290" s="24"/>
      <c r="E290" s="24"/>
      <c r="F290" s="24"/>
      <c r="G290" s="24"/>
      <c r="H290" s="24"/>
      <c r="I290" s="24"/>
      <c r="J290" s="24"/>
      <c r="K290" s="26"/>
      <c r="L290" s="26"/>
      <c r="M290" s="26"/>
      <c r="N290" s="79"/>
      <c r="O290" s="22"/>
      <c r="P290" s="22"/>
      <c r="Q290" s="91"/>
      <c r="R290" s="88"/>
    </row>
    <row r="291" spans="1:18" s="18" customFormat="1" x14ac:dyDescent="0.2">
      <c r="A291" s="23"/>
      <c r="B291" s="97"/>
      <c r="C291" s="97"/>
      <c r="D291" s="24"/>
      <c r="E291" s="24"/>
      <c r="F291" s="24"/>
      <c r="G291" s="24"/>
      <c r="H291" s="24"/>
      <c r="I291" s="24"/>
      <c r="J291" s="24"/>
      <c r="K291" s="36"/>
      <c r="L291" s="36"/>
      <c r="M291" s="36"/>
      <c r="N291" s="80"/>
      <c r="O291" s="81"/>
      <c r="P291" s="81"/>
      <c r="Q291" s="92"/>
      <c r="R291" s="89"/>
    </row>
    <row r="292" spans="1:18" s="18" customFormat="1" x14ac:dyDescent="0.2">
      <c r="A292" s="23"/>
      <c r="B292" s="97"/>
      <c r="C292" s="97"/>
      <c r="D292" s="24"/>
      <c r="E292" s="24"/>
      <c r="F292" s="24"/>
      <c r="G292" s="24"/>
      <c r="H292" s="24"/>
      <c r="I292" s="24"/>
      <c r="J292" s="24"/>
      <c r="K292" s="36"/>
      <c r="L292" s="26"/>
      <c r="M292" s="26"/>
      <c r="N292" s="80"/>
      <c r="O292" s="81"/>
      <c r="P292" s="81"/>
      <c r="Q292" s="92"/>
      <c r="R292" s="89"/>
    </row>
    <row r="293" spans="1:18" s="18" customFormat="1" x14ac:dyDescent="0.2">
      <c r="A293" s="23"/>
      <c r="B293" s="97"/>
      <c r="C293" s="97"/>
      <c r="D293" s="24"/>
      <c r="E293" s="24"/>
      <c r="F293" s="24"/>
      <c r="G293" s="24"/>
      <c r="H293" s="24"/>
      <c r="I293" s="24"/>
      <c r="J293" s="24"/>
      <c r="K293" s="26"/>
      <c r="L293" s="26"/>
      <c r="M293" s="26"/>
      <c r="N293" s="79"/>
      <c r="O293" s="22"/>
      <c r="P293" s="22"/>
      <c r="Q293" s="91"/>
      <c r="R293" s="88"/>
    </row>
    <row r="294" spans="1:18" s="18" customFormat="1" x14ac:dyDescent="0.2">
      <c r="A294" s="23"/>
      <c r="B294" s="97"/>
      <c r="C294" s="97"/>
      <c r="D294" s="24"/>
      <c r="E294" s="24"/>
      <c r="F294" s="24"/>
      <c r="G294" s="24"/>
      <c r="H294" s="24"/>
      <c r="I294" s="24"/>
      <c r="J294" s="24"/>
      <c r="K294" s="26"/>
      <c r="L294" s="26"/>
      <c r="M294" s="26"/>
      <c r="N294" s="79"/>
      <c r="O294" s="22"/>
      <c r="P294" s="22"/>
      <c r="Q294" s="91"/>
      <c r="R294" s="88"/>
    </row>
    <row r="295" spans="1:18" s="18" customFormat="1" x14ac:dyDescent="0.2">
      <c r="A295" s="23"/>
      <c r="B295" s="97"/>
      <c r="C295" s="97"/>
      <c r="D295" s="24"/>
      <c r="E295" s="24"/>
      <c r="F295" s="24"/>
      <c r="G295" s="24"/>
      <c r="H295" s="24"/>
      <c r="I295" s="24"/>
      <c r="J295" s="24"/>
      <c r="K295" s="26"/>
      <c r="L295" s="26"/>
      <c r="M295" s="26"/>
      <c r="N295" s="79"/>
      <c r="O295" s="22"/>
      <c r="P295" s="22"/>
      <c r="Q295" s="91"/>
      <c r="R295" s="88"/>
    </row>
    <row r="296" spans="1:18" s="18" customFormat="1" x14ac:dyDescent="0.2">
      <c r="A296" s="23"/>
      <c r="B296" s="97"/>
      <c r="C296" s="97"/>
      <c r="D296" s="24"/>
      <c r="E296" s="24"/>
      <c r="F296" s="24"/>
      <c r="G296" s="24"/>
      <c r="H296" s="24"/>
      <c r="I296" s="24"/>
      <c r="J296" s="24"/>
      <c r="K296" s="26"/>
      <c r="L296" s="26"/>
      <c r="M296" s="26"/>
      <c r="N296" s="79"/>
      <c r="O296" s="22"/>
      <c r="P296" s="22"/>
      <c r="Q296" s="91"/>
      <c r="R296" s="88"/>
    </row>
    <row r="297" spans="1:18" s="18" customFormat="1" x14ac:dyDescent="0.2">
      <c r="A297" s="23"/>
      <c r="B297" s="97"/>
      <c r="C297" s="97"/>
      <c r="D297" s="24"/>
      <c r="E297" s="24"/>
      <c r="F297" s="24"/>
      <c r="G297" s="24"/>
      <c r="H297" s="24"/>
      <c r="I297" s="24"/>
      <c r="J297" s="24"/>
      <c r="K297" s="26"/>
      <c r="L297" s="26"/>
      <c r="M297" s="26"/>
      <c r="N297" s="79"/>
      <c r="O297" s="22"/>
      <c r="P297" s="22"/>
      <c r="Q297" s="91"/>
      <c r="R297" s="88"/>
    </row>
    <row r="298" spans="1:18" s="18" customFormat="1" x14ac:dyDescent="0.2">
      <c r="A298" s="23"/>
      <c r="B298" s="97"/>
      <c r="C298" s="97"/>
      <c r="D298" s="24"/>
      <c r="E298" s="24"/>
      <c r="F298" s="24"/>
      <c r="G298" s="24"/>
      <c r="H298" s="24"/>
      <c r="I298" s="24"/>
      <c r="J298" s="24"/>
      <c r="K298" s="26"/>
      <c r="L298" s="26"/>
      <c r="M298" s="26"/>
      <c r="N298" s="79"/>
      <c r="O298" s="22"/>
      <c r="P298" s="22"/>
      <c r="Q298" s="91"/>
      <c r="R298" s="88"/>
    </row>
    <row r="299" spans="1:18" s="18" customFormat="1" x14ac:dyDescent="0.2">
      <c r="A299" s="23"/>
      <c r="B299" s="97"/>
      <c r="C299" s="97"/>
      <c r="D299" s="24"/>
      <c r="E299" s="24"/>
      <c r="F299" s="24"/>
      <c r="G299" s="24"/>
      <c r="H299" s="24"/>
      <c r="I299" s="24"/>
      <c r="J299" s="65"/>
      <c r="K299" s="36"/>
      <c r="L299" s="26"/>
      <c r="M299" s="36"/>
      <c r="N299" s="80"/>
      <c r="O299" s="81"/>
      <c r="P299" s="81"/>
      <c r="Q299" s="92"/>
      <c r="R299" s="89"/>
    </row>
    <row r="300" spans="1:18" s="18" customFormat="1" x14ac:dyDescent="0.2">
      <c r="A300" s="23"/>
      <c r="B300" s="97"/>
      <c r="C300" s="97"/>
      <c r="D300" s="24"/>
      <c r="E300" s="24"/>
      <c r="F300" s="24"/>
      <c r="G300" s="24"/>
      <c r="H300" s="24"/>
      <c r="I300" s="24"/>
      <c r="J300" s="24"/>
      <c r="K300" s="26"/>
      <c r="L300" s="26"/>
      <c r="M300" s="26"/>
      <c r="N300" s="79"/>
      <c r="O300" s="22"/>
      <c r="P300" s="22"/>
      <c r="Q300" s="91"/>
      <c r="R300" s="88"/>
    </row>
    <row r="301" spans="1:18" s="18" customFormat="1" x14ac:dyDescent="0.2">
      <c r="A301" s="23"/>
      <c r="B301" s="97"/>
      <c r="C301" s="97"/>
      <c r="D301" s="24"/>
      <c r="E301" s="24"/>
      <c r="F301" s="24"/>
      <c r="G301" s="24"/>
      <c r="H301" s="24"/>
      <c r="I301" s="24"/>
      <c r="J301" s="24"/>
      <c r="K301" s="26"/>
      <c r="L301" s="26"/>
      <c r="M301" s="26"/>
      <c r="N301" s="79"/>
      <c r="O301" s="22"/>
      <c r="P301" s="22"/>
      <c r="Q301" s="91"/>
      <c r="R301" s="88"/>
    </row>
    <row r="302" spans="1:18" s="18" customFormat="1" x14ac:dyDescent="0.2">
      <c r="A302" s="23"/>
      <c r="B302" s="97"/>
      <c r="C302" s="97"/>
      <c r="D302" s="24"/>
      <c r="E302" s="24"/>
      <c r="F302" s="24"/>
      <c r="G302" s="24"/>
      <c r="H302" s="24"/>
      <c r="I302" s="24"/>
      <c r="J302" s="24"/>
      <c r="K302" s="26"/>
      <c r="L302" s="26"/>
      <c r="M302" s="26"/>
      <c r="N302" s="79"/>
      <c r="O302" s="22"/>
      <c r="P302" s="22"/>
      <c r="Q302" s="91"/>
      <c r="R302" s="88"/>
    </row>
    <row r="303" spans="1:18" s="18" customFormat="1" x14ac:dyDescent="0.2">
      <c r="A303" s="23"/>
      <c r="B303" s="97"/>
      <c r="C303" s="97"/>
      <c r="D303" s="24"/>
      <c r="E303" s="24"/>
      <c r="F303" s="24"/>
      <c r="G303" s="24"/>
      <c r="H303" s="24"/>
      <c r="I303" s="24"/>
      <c r="J303" s="24"/>
      <c r="K303" s="26"/>
      <c r="L303" s="26"/>
      <c r="M303" s="26"/>
      <c r="N303" s="79"/>
      <c r="O303" s="22"/>
      <c r="P303" s="22"/>
      <c r="Q303" s="91"/>
      <c r="R303" s="88"/>
    </row>
    <row r="304" spans="1:18" s="18" customFormat="1" x14ac:dyDescent="0.2">
      <c r="A304" s="23"/>
      <c r="B304" s="97"/>
      <c r="C304" s="97"/>
      <c r="D304" s="24"/>
      <c r="E304" s="24"/>
      <c r="F304" s="24"/>
      <c r="G304" s="24"/>
      <c r="H304" s="24"/>
      <c r="I304" s="24"/>
      <c r="J304" s="24"/>
      <c r="K304" s="26"/>
      <c r="L304" s="26"/>
      <c r="M304" s="26"/>
      <c r="N304" s="79"/>
      <c r="O304" s="22"/>
      <c r="P304" s="22"/>
      <c r="Q304" s="91"/>
      <c r="R304" s="88"/>
    </row>
    <row r="305" spans="1:18" s="18" customFormat="1" x14ac:dyDescent="0.2">
      <c r="A305" s="23"/>
      <c r="B305" s="97"/>
      <c r="C305" s="97"/>
      <c r="D305" s="24"/>
      <c r="E305" s="24"/>
      <c r="F305" s="24"/>
      <c r="G305" s="24"/>
      <c r="H305" s="24"/>
      <c r="I305" s="24"/>
      <c r="J305" s="24"/>
      <c r="K305" s="26"/>
      <c r="L305" s="26"/>
      <c r="M305" s="26"/>
      <c r="N305" s="79"/>
      <c r="O305" s="22"/>
      <c r="P305" s="22"/>
      <c r="Q305" s="91"/>
      <c r="R305" s="88"/>
    </row>
    <row r="306" spans="1:18" s="18" customFormat="1" x14ac:dyDescent="0.2">
      <c r="A306" s="23"/>
      <c r="B306" s="97"/>
      <c r="C306" s="97"/>
      <c r="D306" s="24"/>
      <c r="E306" s="24"/>
      <c r="F306" s="24"/>
      <c r="G306" s="24"/>
      <c r="H306" s="24"/>
      <c r="I306" s="24"/>
      <c r="J306" s="24"/>
      <c r="K306" s="26"/>
      <c r="L306" s="26"/>
      <c r="M306" s="26"/>
      <c r="N306" s="79"/>
      <c r="O306" s="22"/>
      <c r="P306" s="22"/>
      <c r="Q306" s="91"/>
      <c r="R306" s="88"/>
    </row>
    <row r="307" spans="1:18" s="18" customFormat="1" x14ac:dyDescent="0.2">
      <c r="A307" s="23"/>
      <c r="B307" s="97"/>
      <c r="C307" s="97"/>
      <c r="D307" s="24"/>
      <c r="E307" s="24"/>
      <c r="F307" s="24"/>
      <c r="G307" s="24"/>
      <c r="H307" s="24"/>
      <c r="I307" s="24"/>
      <c r="J307" s="24"/>
      <c r="K307" s="36"/>
      <c r="L307" s="26"/>
      <c r="M307" s="36"/>
      <c r="N307" s="79"/>
      <c r="O307" s="36"/>
      <c r="P307" s="36"/>
      <c r="Q307" s="91"/>
      <c r="R307" s="88"/>
    </row>
    <row r="308" spans="1:18" s="18" customFormat="1" x14ac:dyDescent="0.2">
      <c r="A308" s="23"/>
      <c r="B308" s="97"/>
      <c r="C308" s="97"/>
      <c r="D308" s="24"/>
      <c r="E308" s="24"/>
      <c r="F308" s="24"/>
      <c r="G308" s="24"/>
      <c r="H308" s="24"/>
      <c r="I308" s="24"/>
      <c r="J308" s="24"/>
      <c r="K308" s="26"/>
      <c r="L308" s="26"/>
      <c r="M308" s="26"/>
      <c r="N308" s="79"/>
      <c r="O308" s="22"/>
      <c r="P308" s="22"/>
      <c r="Q308" s="91"/>
      <c r="R308" s="88"/>
    </row>
    <row r="309" spans="1:18" s="18" customFormat="1" x14ac:dyDescent="0.2">
      <c r="A309" s="23"/>
      <c r="B309" s="97"/>
      <c r="C309" s="97"/>
      <c r="D309" s="24"/>
      <c r="E309" s="24"/>
      <c r="F309" s="24"/>
      <c r="G309" s="24"/>
      <c r="H309" s="24"/>
      <c r="I309" s="24"/>
      <c r="J309" s="24"/>
      <c r="K309" s="26"/>
      <c r="L309" s="26"/>
      <c r="M309" s="26"/>
      <c r="N309" s="79"/>
      <c r="O309" s="22"/>
      <c r="P309" s="22"/>
      <c r="Q309" s="91"/>
      <c r="R309" s="88"/>
    </row>
    <row r="310" spans="1:18" s="18" customFormat="1" x14ac:dyDescent="0.2">
      <c r="A310" s="23"/>
      <c r="B310" s="97"/>
      <c r="C310" s="97"/>
      <c r="D310" s="24"/>
      <c r="E310" s="24"/>
      <c r="F310" s="24"/>
      <c r="G310" s="24"/>
      <c r="H310" s="24"/>
      <c r="I310" s="24"/>
      <c r="J310" s="24"/>
      <c r="K310" s="26"/>
      <c r="L310" s="26"/>
      <c r="M310" s="26"/>
      <c r="N310" s="79"/>
      <c r="O310" s="22"/>
      <c r="P310" s="22"/>
      <c r="Q310" s="91"/>
      <c r="R310" s="88"/>
    </row>
    <row r="311" spans="1:18" s="18" customFormat="1" x14ac:dyDescent="0.2">
      <c r="A311" s="23"/>
      <c r="B311" s="97"/>
      <c r="C311" s="97"/>
      <c r="D311" s="24"/>
      <c r="E311" s="24"/>
      <c r="F311" s="24"/>
      <c r="G311" s="24"/>
      <c r="H311" s="24"/>
      <c r="I311" s="24"/>
      <c r="J311" s="24"/>
      <c r="K311" s="36"/>
      <c r="L311" s="26"/>
      <c r="M311" s="36"/>
      <c r="N311" s="80"/>
      <c r="O311" s="81"/>
      <c r="P311" s="81"/>
      <c r="Q311" s="92"/>
      <c r="R311" s="89"/>
    </row>
    <row r="312" spans="1:18" s="18" customFormat="1" x14ac:dyDescent="0.2">
      <c r="A312" s="23"/>
      <c r="B312" s="97"/>
      <c r="C312" s="97"/>
      <c r="D312" s="24"/>
      <c r="E312" s="24"/>
      <c r="F312" s="24"/>
      <c r="G312" s="24"/>
      <c r="H312" s="24"/>
      <c r="I312" s="24"/>
      <c r="J312" s="24"/>
      <c r="K312" s="26"/>
      <c r="L312" s="26"/>
      <c r="M312" s="26"/>
      <c r="N312" s="79"/>
      <c r="O312" s="22"/>
      <c r="P312" s="22"/>
      <c r="Q312" s="91"/>
      <c r="R312" s="88"/>
    </row>
    <row r="313" spans="1:18" s="18" customFormat="1" x14ac:dyDescent="0.2">
      <c r="A313" s="23"/>
      <c r="B313" s="97"/>
      <c r="C313" s="97"/>
      <c r="D313" s="24"/>
      <c r="E313" s="24"/>
      <c r="F313" s="24"/>
      <c r="G313" s="24"/>
      <c r="H313" s="24"/>
      <c r="I313" s="24"/>
      <c r="J313" s="24"/>
      <c r="K313" s="26"/>
      <c r="L313" s="26"/>
      <c r="M313" s="26"/>
      <c r="N313" s="79"/>
      <c r="O313" s="22"/>
      <c r="P313" s="22"/>
      <c r="Q313" s="91"/>
      <c r="R313" s="88"/>
    </row>
    <row r="314" spans="1:18" s="18" customFormat="1" x14ac:dyDescent="0.2">
      <c r="A314" s="23"/>
      <c r="B314" s="97"/>
      <c r="C314" s="97"/>
      <c r="D314" s="24"/>
      <c r="E314" s="24"/>
      <c r="F314" s="24"/>
      <c r="G314" s="24"/>
      <c r="H314" s="24"/>
      <c r="I314" s="24"/>
      <c r="J314" s="24"/>
      <c r="K314" s="26"/>
      <c r="L314" s="26"/>
      <c r="M314" s="26"/>
      <c r="N314" s="79"/>
      <c r="O314" s="22"/>
      <c r="P314" s="22"/>
      <c r="Q314" s="91"/>
      <c r="R314" s="88"/>
    </row>
    <row r="315" spans="1:18" s="18" customFormat="1" x14ac:dyDescent="0.2">
      <c r="A315" s="23"/>
      <c r="B315" s="97"/>
      <c r="C315" s="97"/>
      <c r="D315" s="24"/>
      <c r="E315" s="24"/>
      <c r="F315" s="24"/>
      <c r="G315" s="24"/>
      <c r="H315" s="24"/>
      <c r="I315" s="24"/>
      <c r="J315" s="24"/>
      <c r="K315" s="26"/>
      <c r="L315" s="26"/>
      <c r="M315" s="26"/>
      <c r="N315" s="79"/>
      <c r="O315" s="22"/>
      <c r="P315" s="22"/>
      <c r="Q315" s="91"/>
      <c r="R315" s="88"/>
    </row>
    <row r="316" spans="1:18" s="18" customFormat="1" x14ac:dyDescent="0.2">
      <c r="A316" s="23"/>
      <c r="B316" s="97"/>
      <c r="C316" s="97"/>
      <c r="D316" s="24"/>
      <c r="E316" s="24"/>
      <c r="F316" s="24"/>
      <c r="G316" s="24"/>
      <c r="H316" s="24"/>
      <c r="I316" s="24"/>
      <c r="J316" s="24"/>
      <c r="K316" s="26"/>
      <c r="L316" s="26"/>
      <c r="M316" s="26"/>
      <c r="N316" s="79"/>
      <c r="O316" s="22"/>
      <c r="P316" s="22"/>
      <c r="Q316" s="91"/>
      <c r="R316" s="88"/>
    </row>
    <row r="317" spans="1:18" s="18" customFormat="1" x14ac:dyDescent="0.2">
      <c r="A317" s="23"/>
      <c r="B317" s="97"/>
      <c r="C317" s="97"/>
      <c r="D317" s="24"/>
      <c r="E317" s="24"/>
      <c r="F317" s="24"/>
      <c r="G317" s="24"/>
      <c r="H317" s="24"/>
      <c r="I317" s="24"/>
      <c r="J317" s="24"/>
      <c r="K317" s="26"/>
      <c r="L317" s="26"/>
      <c r="M317" s="26"/>
      <c r="N317" s="79"/>
      <c r="O317" s="22"/>
      <c r="P317" s="22"/>
      <c r="Q317" s="91"/>
      <c r="R317" s="88"/>
    </row>
    <row r="318" spans="1:18" s="18" customFormat="1" x14ac:dyDescent="0.2">
      <c r="A318" s="23"/>
      <c r="B318" s="97"/>
      <c r="C318" s="97"/>
      <c r="D318" s="24"/>
      <c r="E318" s="24"/>
      <c r="F318" s="24"/>
      <c r="G318" s="24"/>
      <c r="H318" s="24"/>
      <c r="I318" s="24"/>
      <c r="J318" s="24"/>
      <c r="K318" s="26"/>
      <c r="L318" s="26"/>
      <c r="M318" s="26"/>
      <c r="N318" s="79"/>
      <c r="O318" s="22"/>
      <c r="P318" s="22"/>
      <c r="Q318" s="91"/>
      <c r="R318" s="88"/>
    </row>
    <row r="319" spans="1:18" s="18" customFormat="1" x14ac:dyDescent="0.2">
      <c r="A319" s="23"/>
      <c r="B319" s="97"/>
      <c r="C319" s="97"/>
      <c r="D319" s="24"/>
      <c r="E319" s="24"/>
      <c r="F319" s="24"/>
      <c r="G319" s="24"/>
      <c r="H319" s="24"/>
      <c r="I319" s="24"/>
      <c r="J319" s="24"/>
      <c r="K319" s="36"/>
      <c r="L319" s="26"/>
      <c r="M319" s="26"/>
      <c r="N319" s="79"/>
      <c r="O319" s="81"/>
      <c r="P319" s="81"/>
      <c r="Q319" s="92"/>
      <c r="R319" s="89"/>
    </row>
    <row r="320" spans="1:18" s="18" customFormat="1" x14ac:dyDescent="0.2">
      <c r="A320" s="23"/>
      <c r="B320" s="97"/>
      <c r="C320" s="97"/>
      <c r="D320" s="24"/>
      <c r="E320" s="24"/>
      <c r="F320" s="24"/>
      <c r="G320" s="24"/>
      <c r="H320" s="24"/>
      <c r="I320" s="24"/>
      <c r="J320" s="24"/>
      <c r="K320" s="26"/>
      <c r="L320" s="26"/>
      <c r="M320" s="26"/>
      <c r="N320" s="79"/>
      <c r="O320" s="22"/>
      <c r="P320" s="22"/>
      <c r="Q320" s="91"/>
      <c r="R320" s="88"/>
    </row>
    <row r="321" spans="1:18" s="18" customFormat="1" x14ac:dyDescent="0.2">
      <c r="A321" s="23"/>
      <c r="B321" s="97"/>
      <c r="C321" s="97"/>
      <c r="D321" s="24"/>
      <c r="E321" s="24"/>
      <c r="F321" s="24"/>
      <c r="G321" s="24"/>
      <c r="H321" s="24"/>
      <c r="I321" s="24"/>
      <c r="J321" s="24"/>
      <c r="K321" s="26"/>
      <c r="L321" s="26"/>
      <c r="M321" s="26"/>
      <c r="N321" s="79"/>
      <c r="O321" s="22"/>
      <c r="P321" s="22"/>
      <c r="Q321" s="91"/>
      <c r="R321" s="88"/>
    </row>
    <row r="322" spans="1:18" s="18" customFormat="1" x14ac:dyDescent="0.2">
      <c r="A322" s="23"/>
      <c r="B322" s="97"/>
      <c r="C322" s="97"/>
      <c r="D322" s="24"/>
      <c r="E322" s="24"/>
      <c r="F322" s="24"/>
      <c r="G322" s="24"/>
      <c r="H322" s="24"/>
      <c r="I322" s="24"/>
      <c r="J322" s="24"/>
      <c r="K322" s="26"/>
      <c r="L322" s="26"/>
      <c r="M322" s="26"/>
      <c r="N322" s="79"/>
      <c r="O322" s="22"/>
      <c r="P322" s="22"/>
      <c r="Q322" s="91"/>
      <c r="R322" s="88"/>
    </row>
    <row r="323" spans="1:18" s="18" customFormat="1" x14ac:dyDescent="0.2">
      <c r="A323" s="23"/>
      <c r="B323" s="97"/>
      <c r="C323" s="97"/>
      <c r="D323" s="24"/>
      <c r="E323" s="24"/>
      <c r="F323" s="24"/>
      <c r="G323" s="24"/>
      <c r="H323" s="24"/>
      <c r="I323" s="24"/>
      <c r="J323" s="24"/>
      <c r="K323" s="26"/>
      <c r="L323" s="26"/>
      <c r="M323" s="26"/>
      <c r="N323" s="79"/>
      <c r="O323" s="22"/>
      <c r="P323" s="22"/>
      <c r="Q323" s="91"/>
      <c r="R323" s="88"/>
    </row>
    <row r="324" spans="1:18" s="18" customFormat="1" x14ac:dyDescent="0.2">
      <c r="A324" s="23"/>
      <c r="B324" s="97"/>
      <c r="C324" s="97"/>
      <c r="D324" s="24"/>
      <c r="E324" s="24"/>
      <c r="F324" s="24"/>
      <c r="G324" s="24"/>
      <c r="H324" s="24"/>
      <c r="I324" s="24"/>
      <c r="J324" s="24"/>
      <c r="K324" s="26"/>
      <c r="L324" s="26"/>
      <c r="M324" s="26"/>
      <c r="N324" s="79"/>
      <c r="O324" s="22"/>
      <c r="P324" s="22"/>
      <c r="Q324" s="91"/>
      <c r="R324" s="88"/>
    </row>
    <row r="325" spans="1:18" s="18" customFormat="1" x14ac:dyDescent="0.2">
      <c r="A325" s="23"/>
      <c r="B325" s="97"/>
      <c r="C325" s="97"/>
      <c r="D325" s="24"/>
      <c r="E325" s="24"/>
      <c r="F325" s="24"/>
      <c r="G325" s="24"/>
      <c r="H325" s="24"/>
      <c r="I325" s="24"/>
      <c r="J325" s="24"/>
      <c r="K325" s="26"/>
      <c r="L325" s="26"/>
      <c r="M325" s="26"/>
      <c r="N325" s="79"/>
      <c r="O325" s="22"/>
      <c r="P325" s="22"/>
      <c r="Q325" s="91"/>
      <c r="R325" s="88"/>
    </row>
    <row r="326" spans="1:18" s="18" customFormat="1" x14ac:dyDescent="0.2">
      <c r="A326" s="23"/>
      <c r="B326" s="97"/>
      <c r="C326" s="97"/>
      <c r="D326" s="24"/>
      <c r="E326" s="24"/>
      <c r="F326" s="24"/>
      <c r="G326" s="24"/>
      <c r="H326" s="24"/>
      <c r="I326" s="24"/>
      <c r="J326" s="24"/>
      <c r="K326" s="26"/>
      <c r="L326" s="26"/>
      <c r="M326" s="26"/>
      <c r="N326" s="79"/>
      <c r="O326" s="22"/>
      <c r="P326" s="22"/>
      <c r="Q326" s="91"/>
      <c r="R326" s="88"/>
    </row>
    <row r="327" spans="1:18" s="18" customFormat="1" x14ac:dyDescent="0.2">
      <c r="A327" s="23"/>
      <c r="B327" s="97"/>
      <c r="C327" s="97"/>
      <c r="D327" s="24"/>
      <c r="E327" s="24"/>
      <c r="F327" s="24"/>
      <c r="G327" s="24"/>
      <c r="H327" s="24"/>
      <c r="I327" s="24"/>
      <c r="J327" s="24"/>
      <c r="K327" s="26"/>
      <c r="L327" s="26"/>
      <c r="M327" s="26"/>
      <c r="N327" s="79"/>
      <c r="O327" s="22"/>
      <c r="P327" s="22"/>
      <c r="Q327" s="91"/>
      <c r="R327" s="88"/>
    </row>
    <row r="328" spans="1:18" s="18" customFormat="1" x14ac:dyDescent="0.2">
      <c r="A328" s="23"/>
      <c r="B328" s="97"/>
      <c r="C328" s="97"/>
      <c r="D328" s="24"/>
      <c r="E328" s="24"/>
      <c r="F328" s="24"/>
      <c r="G328" s="24"/>
      <c r="H328" s="24"/>
      <c r="I328" s="24"/>
      <c r="J328" s="24"/>
      <c r="K328" s="26"/>
      <c r="L328" s="26"/>
      <c r="M328" s="26"/>
      <c r="N328" s="79"/>
      <c r="O328" s="22"/>
      <c r="P328" s="22"/>
      <c r="Q328" s="91"/>
      <c r="R328" s="88"/>
    </row>
    <row r="329" spans="1:18" s="18" customFormat="1" x14ac:dyDescent="0.2">
      <c r="A329" s="23"/>
      <c r="B329" s="97"/>
      <c r="C329" s="97"/>
      <c r="D329" s="24"/>
      <c r="E329" s="24"/>
      <c r="F329" s="24"/>
      <c r="G329" s="24"/>
      <c r="H329" s="24"/>
      <c r="I329" s="24"/>
      <c r="J329" s="24"/>
      <c r="K329" s="26"/>
      <c r="L329" s="26"/>
      <c r="M329" s="26"/>
      <c r="N329" s="79"/>
      <c r="O329" s="22"/>
      <c r="P329" s="22"/>
      <c r="Q329" s="91"/>
      <c r="R329" s="88"/>
    </row>
    <row r="330" spans="1:18" s="18" customFormat="1" x14ac:dyDescent="0.2">
      <c r="A330" s="23"/>
      <c r="B330" s="97"/>
      <c r="C330" s="97"/>
      <c r="D330" s="24"/>
      <c r="E330" s="24"/>
      <c r="F330" s="24"/>
      <c r="G330" s="24"/>
      <c r="H330" s="24"/>
      <c r="I330" s="24"/>
      <c r="J330" s="24"/>
      <c r="K330" s="26"/>
      <c r="L330" s="26"/>
      <c r="M330" s="26"/>
      <c r="N330" s="79"/>
      <c r="O330" s="22"/>
      <c r="P330" s="22"/>
      <c r="Q330" s="91"/>
      <c r="R330" s="88"/>
    </row>
    <row r="331" spans="1:18" s="18" customFormat="1" x14ac:dyDescent="0.2">
      <c r="A331" s="23"/>
      <c r="B331" s="97"/>
      <c r="C331" s="97"/>
      <c r="D331" s="24"/>
      <c r="E331" s="24"/>
      <c r="F331" s="24"/>
      <c r="G331" s="24"/>
      <c r="H331" s="24"/>
      <c r="I331" s="24"/>
      <c r="J331" s="24"/>
      <c r="K331" s="26"/>
      <c r="L331" s="26"/>
      <c r="M331" s="26"/>
      <c r="N331" s="79"/>
      <c r="O331" s="22"/>
      <c r="P331" s="22"/>
      <c r="Q331" s="91"/>
      <c r="R331" s="88"/>
    </row>
    <row r="332" spans="1:18" s="18" customFormat="1" x14ac:dyDescent="0.2">
      <c r="A332" s="23"/>
      <c r="B332" s="97"/>
      <c r="C332" s="97"/>
      <c r="D332" s="24"/>
      <c r="E332" s="24"/>
      <c r="F332" s="24"/>
      <c r="G332" s="24"/>
      <c r="H332" s="24"/>
      <c r="I332" s="24"/>
      <c r="J332" s="24"/>
      <c r="K332" s="26"/>
      <c r="L332" s="26"/>
      <c r="M332" s="26"/>
      <c r="N332" s="79"/>
      <c r="O332" s="22"/>
      <c r="P332" s="22"/>
      <c r="Q332" s="91"/>
      <c r="R332" s="88"/>
    </row>
    <row r="333" spans="1:18" s="18" customFormat="1" x14ac:dyDescent="0.2">
      <c r="A333" s="23"/>
      <c r="B333" s="97"/>
      <c r="C333" s="97"/>
      <c r="D333" s="24"/>
      <c r="E333" s="24"/>
      <c r="F333" s="24"/>
      <c r="G333" s="24"/>
      <c r="H333" s="24"/>
      <c r="I333" s="24"/>
      <c r="J333" s="24"/>
      <c r="K333" s="26"/>
      <c r="L333" s="26"/>
      <c r="M333" s="26"/>
      <c r="N333" s="79"/>
      <c r="O333" s="22"/>
      <c r="P333" s="22"/>
      <c r="Q333" s="91"/>
      <c r="R333" s="88"/>
    </row>
    <row r="334" spans="1:18" s="18" customFormat="1" x14ac:dyDescent="0.2">
      <c r="A334" s="23"/>
      <c r="B334" s="97"/>
      <c r="C334" s="97"/>
      <c r="D334" s="24"/>
      <c r="E334" s="24"/>
      <c r="F334" s="24"/>
      <c r="G334" s="24"/>
      <c r="H334" s="24"/>
      <c r="I334" s="24"/>
      <c r="J334" s="24"/>
      <c r="K334" s="26"/>
      <c r="L334" s="26"/>
      <c r="M334" s="26"/>
      <c r="N334" s="79"/>
      <c r="O334" s="22"/>
      <c r="P334" s="22"/>
      <c r="Q334" s="91"/>
      <c r="R334" s="88"/>
    </row>
    <row r="335" spans="1:18" s="18" customFormat="1" x14ac:dyDescent="0.2">
      <c r="A335" s="23"/>
      <c r="B335" s="97"/>
      <c r="C335" s="97"/>
      <c r="D335" s="24"/>
      <c r="E335" s="24"/>
      <c r="F335" s="24"/>
      <c r="G335" s="24"/>
      <c r="H335" s="24"/>
      <c r="I335" s="24"/>
      <c r="J335" s="24"/>
      <c r="K335" s="26"/>
      <c r="L335" s="26"/>
      <c r="M335" s="26"/>
      <c r="N335" s="79"/>
      <c r="O335" s="22"/>
      <c r="P335" s="22"/>
      <c r="Q335" s="91"/>
      <c r="R335" s="88"/>
    </row>
    <row r="336" spans="1:18" s="18" customFormat="1" x14ac:dyDescent="0.2">
      <c r="A336" s="23"/>
      <c r="B336" s="97"/>
      <c r="C336" s="97"/>
      <c r="D336" s="24"/>
      <c r="E336" s="24"/>
      <c r="F336" s="24"/>
      <c r="G336" s="24"/>
      <c r="H336" s="24"/>
      <c r="I336" s="24"/>
      <c r="J336" s="24"/>
      <c r="K336" s="26"/>
      <c r="L336" s="26"/>
      <c r="M336" s="26"/>
      <c r="N336" s="79"/>
      <c r="O336" s="22"/>
      <c r="P336" s="22"/>
      <c r="Q336" s="91"/>
      <c r="R336" s="88"/>
    </row>
    <row r="337" spans="1:21" s="18" customFormat="1" x14ac:dyDescent="0.2">
      <c r="A337" s="23"/>
      <c r="B337" s="97"/>
      <c r="C337" s="97"/>
      <c r="D337" s="24"/>
      <c r="E337" s="24"/>
      <c r="F337" s="24"/>
      <c r="G337" s="24"/>
      <c r="H337" s="24"/>
      <c r="I337" s="24"/>
      <c r="J337" s="24"/>
      <c r="K337" s="26"/>
      <c r="L337" s="26"/>
      <c r="M337" s="26"/>
      <c r="N337" s="79"/>
      <c r="O337" s="22"/>
      <c r="P337" s="22"/>
      <c r="Q337" s="91"/>
      <c r="R337" s="88"/>
    </row>
    <row r="338" spans="1:21" s="18" customFormat="1" x14ac:dyDescent="0.2">
      <c r="A338" s="23"/>
      <c r="B338" s="97"/>
      <c r="C338" s="97"/>
      <c r="D338" s="24"/>
      <c r="E338" s="24"/>
      <c r="F338" s="24"/>
      <c r="G338" s="24"/>
      <c r="H338" s="24"/>
      <c r="I338" s="24"/>
      <c r="J338" s="24"/>
      <c r="K338" s="26"/>
      <c r="L338" s="26"/>
      <c r="M338" s="26"/>
      <c r="N338" s="79"/>
      <c r="O338" s="22"/>
      <c r="P338" s="22"/>
      <c r="Q338" s="91"/>
      <c r="R338" s="88"/>
    </row>
    <row r="339" spans="1:21" s="18" customFormat="1" x14ac:dyDescent="0.2">
      <c r="A339" s="23"/>
      <c r="B339" s="97"/>
      <c r="C339" s="97"/>
      <c r="D339" s="24"/>
      <c r="E339" s="24"/>
      <c r="F339" s="24"/>
      <c r="G339" s="24"/>
      <c r="H339" s="24"/>
      <c r="I339" s="24"/>
      <c r="J339" s="24"/>
      <c r="K339" s="26"/>
      <c r="L339" s="26"/>
      <c r="M339" s="26"/>
      <c r="N339" s="79"/>
      <c r="O339" s="22"/>
      <c r="P339" s="22"/>
      <c r="Q339" s="91"/>
      <c r="R339" s="88"/>
    </row>
    <row r="340" spans="1:21" customFormat="1" x14ac:dyDescent="0.2">
      <c r="A340" s="23"/>
      <c r="B340" s="97"/>
      <c r="C340" s="97"/>
      <c r="D340" s="24"/>
      <c r="E340" s="24"/>
      <c r="F340" s="24"/>
      <c r="G340" s="24"/>
      <c r="H340" s="24"/>
      <c r="I340" s="24"/>
      <c r="J340" s="24"/>
      <c r="K340" s="26"/>
      <c r="L340" s="26"/>
      <c r="M340" s="26"/>
      <c r="N340" s="79"/>
      <c r="O340" s="22"/>
      <c r="P340" s="22"/>
      <c r="Q340" s="91"/>
      <c r="R340" s="88"/>
    </row>
    <row r="341" spans="1:21" customFormat="1" x14ac:dyDescent="0.2">
      <c r="A341" s="23"/>
      <c r="B341" s="97"/>
      <c r="C341" s="97"/>
      <c r="D341" s="24"/>
      <c r="E341" s="24"/>
      <c r="F341" s="24"/>
      <c r="G341" s="24"/>
      <c r="H341" s="24"/>
      <c r="I341" s="24"/>
      <c r="J341" s="24"/>
      <c r="K341" s="26"/>
      <c r="L341" s="26"/>
      <c r="M341" s="26"/>
      <c r="N341" s="79"/>
      <c r="O341" s="22"/>
      <c r="P341" s="22"/>
      <c r="Q341" s="91"/>
      <c r="R341" s="88"/>
    </row>
    <row r="342" spans="1:21" customFormat="1" x14ac:dyDescent="0.2">
      <c r="A342" s="23"/>
      <c r="B342" s="97"/>
      <c r="C342" s="97"/>
      <c r="D342" s="24"/>
      <c r="E342" s="24"/>
      <c r="F342" s="24"/>
      <c r="G342" s="24"/>
      <c r="H342" s="24"/>
      <c r="I342" s="24"/>
      <c r="J342" s="24"/>
      <c r="K342" s="26"/>
      <c r="L342" s="26"/>
      <c r="M342" s="26"/>
      <c r="N342" s="79"/>
      <c r="O342" s="22"/>
      <c r="P342" s="22"/>
      <c r="Q342" s="91"/>
      <c r="R342" s="88"/>
    </row>
    <row r="343" spans="1:21" s="18" customFormat="1" x14ac:dyDescent="0.2">
      <c r="A343" s="23"/>
      <c r="B343" s="97"/>
      <c r="C343" s="97"/>
      <c r="D343" s="24"/>
      <c r="E343" s="24"/>
      <c r="F343" s="24"/>
      <c r="G343" s="24"/>
      <c r="H343" s="24"/>
      <c r="I343" s="24"/>
      <c r="J343" s="24"/>
      <c r="K343" s="26"/>
      <c r="L343" s="26"/>
      <c r="M343" s="26"/>
      <c r="N343" s="79"/>
      <c r="O343" s="22"/>
      <c r="P343" s="22"/>
      <c r="Q343" s="91"/>
      <c r="R343" s="88"/>
    </row>
    <row r="344" spans="1:21" s="18" customFormat="1" x14ac:dyDescent="0.2">
      <c r="A344" s="23"/>
      <c r="B344" s="97"/>
      <c r="C344" s="97"/>
      <c r="D344" s="24"/>
      <c r="E344" s="24"/>
      <c r="F344" s="24"/>
      <c r="G344" s="24"/>
      <c r="H344" s="24"/>
      <c r="I344" s="24"/>
      <c r="J344" s="24"/>
      <c r="K344" s="26"/>
      <c r="L344" s="26"/>
      <c r="M344" s="26"/>
      <c r="N344" s="79"/>
      <c r="O344" s="22"/>
      <c r="P344" s="22"/>
      <c r="Q344" s="91"/>
      <c r="R344" s="88"/>
    </row>
    <row r="345" spans="1:21" s="18" customFormat="1" x14ac:dyDescent="0.2">
      <c r="A345" s="23"/>
      <c r="B345" s="97"/>
      <c r="C345" s="97"/>
      <c r="D345" s="24"/>
      <c r="E345" s="24"/>
      <c r="F345" s="24"/>
      <c r="G345" s="24"/>
      <c r="H345" s="24"/>
      <c r="I345" s="24"/>
      <c r="J345" s="24"/>
      <c r="K345" s="26"/>
      <c r="L345" s="26"/>
      <c r="M345" s="26"/>
      <c r="N345" s="79"/>
      <c r="O345" s="22"/>
      <c r="P345" s="22"/>
      <c r="Q345" s="91"/>
      <c r="R345" s="88"/>
    </row>
    <row r="346" spans="1:21" s="18" customFormat="1" x14ac:dyDescent="0.2">
      <c r="A346" s="23"/>
      <c r="B346" s="97"/>
      <c r="C346" s="97"/>
      <c r="D346" s="24"/>
      <c r="E346" s="24"/>
      <c r="F346" s="24"/>
      <c r="G346" s="24"/>
      <c r="H346" s="24"/>
      <c r="I346" s="24"/>
      <c r="J346" s="24"/>
      <c r="K346" s="26"/>
      <c r="L346" s="26"/>
      <c r="M346" s="26"/>
      <c r="N346" s="79"/>
      <c r="O346" s="22"/>
      <c r="P346" s="22"/>
      <c r="Q346" s="91"/>
      <c r="R346" s="88"/>
    </row>
    <row r="347" spans="1:21" s="18" customFormat="1" x14ac:dyDescent="0.2">
      <c r="A347" s="23"/>
      <c r="B347" s="97"/>
      <c r="C347" s="97"/>
      <c r="D347" s="24"/>
      <c r="E347" s="24"/>
      <c r="F347" s="24"/>
      <c r="G347" s="24"/>
      <c r="H347" s="24"/>
      <c r="I347" s="24"/>
      <c r="J347" s="24"/>
      <c r="K347" s="26"/>
      <c r="L347" s="26"/>
      <c r="M347" s="26"/>
      <c r="N347" s="79"/>
      <c r="O347" s="22"/>
      <c r="P347" s="22"/>
      <c r="Q347" s="91"/>
      <c r="R347" s="88"/>
    </row>
    <row r="348" spans="1:21" s="18" customFormat="1" x14ac:dyDescent="0.2">
      <c r="A348" s="23"/>
      <c r="B348" s="97"/>
      <c r="C348" s="97"/>
      <c r="D348" s="24"/>
      <c r="E348" s="24"/>
      <c r="F348" s="24"/>
      <c r="G348" s="24"/>
      <c r="H348" s="24"/>
      <c r="I348" s="24"/>
      <c r="J348" s="24"/>
      <c r="K348" s="26"/>
      <c r="L348" s="26"/>
      <c r="M348" s="26"/>
      <c r="N348" s="79"/>
      <c r="O348" s="22"/>
      <c r="P348" s="22"/>
      <c r="Q348" s="91"/>
      <c r="R348" s="88"/>
    </row>
    <row r="349" spans="1:21" x14ac:dyDescent="0.2">
      <c r="A349" s="23"/>
      <c r="B349" s="97"/>
      <c r="C349" s="97"/>
      <c r="D349" s="24"/>
      <c r="E349" s="24"/>
      <c r="F349" s="24"/>
      <c r="G349" s="24"/>
      <c r="H349" s="24"/>
      <c r="I349" s="24"/>
      <c r="J349" s="24"/>
      <c r="K349" s="26"/>
      <c r="L349" s="26"/>
      <c r="M349" s="26"/>
      <c r="N349" s="79"/>
      <c r="O349" s="22"/>
      <c r="P349" s="22"/>
      <c r="Q349" s="91"/>
      <c r="R349" s="88"/>
    </row>
    <row r="350" spans="1:21" x14ac:dyDescent="0.2">
      <c r="A350" s="23"/>
      <c r="B350" s="97"/>
      <c r="C350" s="97"/>
      <c r="D350" s="24"/>
      <c r="E350" s="24"/>
      <c r="F350" s="24"/>
      <c r="G350" s="24"/>
      <c r="H350" s="24"/>
      <c r="I350" s="24"/>
      <c r="J350" s="24"/>
      <c r="K350" s="26"/>
      <c r="L350" s="26"/>
      <c r="M350" s="26"/>
      <c r="N350" s="79"/>
      <c r="O350" s="22"/>
      <c r="P350" s="22"/>
      <c r="Q350" s="91"/>
      <c r="R350" s="88"/>
    </row>
    <row r="351" spans="1:21" x14ac:dyDescent="0.2">
      <c r="A351" s="23"/>
      <c r="B351" s="97"/>
      <c r="C351" s="97"/>
      <c r="D351" s="24"/>
      <c r="E351" s="24"/>
      <c r="F351" s="24"/>
      <c r="G351" s="24"/>
      <c r="H351" s="24"/>
      <c r="I351" s="24"/>
      <c r="J351" s="24"/>
      <c r="K351" s="26"/>
      <c r="L351" s="26"/>
      <c r="M351" s="26"/>
      <c r="N351" s="79"/>
      <c r="O351" s="22"/>
      <c r="P351" s="22"/>
      <c r="Q351" s="91"/>
      <c r="R351" s="88"/>
    </row>
    <row r="352" spans="1:21" x14ac:dyDescent="0.2">
      <c r="A352" s="23"/>
      <c r="B352" s="97"/>
      <c r="C352" s="97"/>
      <c r="D352" s="24"/>
      <c r="E352" s="24"/>
      <c r="F352" s="24"/>
      <c r="G352" s="24"/>
      <c r="H352" s="24"/>
      <c r="I352" s="24"/>
      <c r="J352" s="24"/>
      <c r="K352" s="26"/>
      <c r="L352" s="36"/>
      <c r="M352" s="36"/>
      <c r="N352" s="80"/>
      <c r="O352" s="22"/>
      <c r="P352" s="22"/>
      <c r="Q352" s="91"/>
      <c r="R352" s="88"/>
      <c r="S352" s="80"/>
      <c r="T352" s="22"/>
      <c r="U352" s="22"/>
    </row>
    <row r="353" spans="1:18" customFormat="1" x14ac:dyDescent="0.2">
      <c r="A353" s="23"/>
      <c r="B353" s="97"/>
      <c r="C353" s="97"/>
      <c r="D353" s="24"/>
      <c r="E353" s="24"/>
      <c r="F353" s="24"/>
      <c r="G353" s="24"/>
      <c r="H353" s="24"/>
      <c r="I353" s="24"/>
      <c r="J353" s="24"/>
      <c r="K353" s="26"/>
      <c r="L353" s="26"/>
      <c r="M353" s="26"/>
      <c r="N353" s="79"/>
      <c r="O353" s="22"/>
      <c r="P353" s="22"/>
      <c r="Q353" s="91"/>
      <c r="R353" s="88"/>
    </row>
    <row r="354" spans="1:18" customFormat="1" x14ac:dyDescent="0.2">
      <c r="A354" s="23"/>
      <c r="B354" s="97"/>
      <c r="C354" s="97"/>
      <c r="D354" s="24"/>
      <c r="E354" s="24"/>
      <c r="F354" s="24"/>
      <c r="G354" s="24"/>
      <c r="H354" s="24"/>
      <c r="I354" s="24"/>
      <c r="J354" s="24"/>
      <c r="K354" s="26"/>
      <c r="L354" s="26"/>
      <c r="M354" s="26"/>
      <c r="N354" s="79"/>
      <c r="O354" s="22"/>
      <c r="P354" s="22"/>
      <c r="Q354" s="91"/>
      <c r="R354" s="88"/>
    </row>
    <row r="355" spans="1:18" customFormat="1" x14ac:dyDescent="0.2">
      <c r="A355" s="23"/>
      <c r="B355" s="97"/>
      <c r="C355" s="97"/>
      <c r="D355" s="24"/>
      <c r="E355" s="24"/>
      <c r="F355" s="24"/>
      <c r="G355" s="24"/>
      <c r="H355" s="24"/>
      <c r="I355" s="24"/>
      <c r="J355" s="24"/>
      <c r="K355" s="26"/>
      <c r="L355" s="26"/>
      <c r="M355" s="26"/>
      <c r="N355" s="79"/>
      <c r="O355" s="22"/>
      <c r="P355" s="22"/>
      <c r="Q355" s="91"/>
      <c r="R355" s="88"/>
    </row>
    <row r="356" spans="1:18" customFormat="1" x14ac:dyDescent="0.2">
      <c r="A356" s="23"/>
      <c r="B356" s="97"/>
      <c r="C356" s="97"/>
      <c r="D356" s="24"/>
      <c r="E356" s="24"/>
      <c r="F356" s="24"/>
      <c r="G356" s="24"/>
      <c r="H356" s="24"/>
      <c r="I356" s="24"/>
      <c r="J356" s="24"/>
      <c r="K356" s="26"/>
      <c r="L356" s="26"/>
      <c r="M356" s="26"/>
      <c r="N356" s="79"/>
      <c r="O356" s="22"/>
      <c r="P356" s="22"/>
      <c r="Q356" s="91"/>
      <c r="R356" s="88"/>
    </row>
    <row r="357" spans="1:18" customFormat="1" x14ac:dyDescent="0.2">
      <c r="A357" s="23"/>
      <c r="B357" s="97"/>
      <c r="C357" s="97"/>
      <c r="D357" s="24"/>
      <c r="E357" s="24"/>
      <c r="F357" s="24"/>
      <c r="G357" s="24"/>
      <c r="H357" s="24"/>
      <c r="I357" s="24"/>
      <c r="J357" s="24"/>
      <c r="K357" s="26"/>
      <c r="L357" s="26"/>
      <c r="M357" s="26"/>
      <c r="N357" s="79"/>
      <c r="O357" s="22"/>
      <c r="P357" s="22"/>
      <c r="Q357" s="91"/>
      <c r="R357" s="88"/>
    </row>
    <row r="358" spans="1:18" customFormat="1" x14ac:dyDescent="0.2">
      <c r="A358" s="23"/>
      <c r="B358" s="97"/>
      <c r="C358" s="97"/>
      <c r="D358" s="24"/>
      <c r="E358" s="24"/>
      <c r="F358" s="24"/>
      <c r="G358" s="24"/>
      <c r="H358" s="24"/>
      <c r="I358" s="24"/>
      <c r="J358" s="24"/>
      <c r="K358" s="26"/>
      <c r="L358" s="26"/>
      <c r="M358" s="26"/>
      <c r="N358" s="79"/>
      <c r="O358" s="22"/>
      <c r="P358" s="22"/>
      <c r="Q358" s="91"/>
      <c r="R358" s="88"/>
    </row>
    <row r="359" spans="1:18" customFormat="1" x14ac:dyDescent="0.2">
      <c r="A359" s="23"/>
      <c r="B359" s="97"/>
      <c r="C359" s="97"/>
      <c r="D359" s="24"/>
      <c r="E359" s="24"/>
      <c r="F359" s="24"/>
      <c r="G359" s="24"/>
      <c r="H359" s="24"/>
      <c r="I359" s="24"/>
      <c r="J359" s="24"/>
      <c r="K359" s="26"/>
      <c r="L359" s="26"/>
      <c r="M359" s="26"/>
      <c r="N359" s="79"/>
      <c r="O359" s="22"/>
      <c r="P359" s="22"/>
      <c r="Q359" s="91"/>
      <c r="R359" s="88"/>
    </row>
    <row r="360" spans="1:18" customFormat="1" x14ac:dyDescent="0.2">
      <c r="A360" s="23"/>
      <c r="B360" s="97"/>
      <c r="C360" s="97"/>
      <c r="D360" s="24"/>
      <c r="E360" s="24"/>
      <c r="F360" s="24"/>
      <c r="G360" s="24"/>
      <c r="H360" s="24"/>
      <c r="I360" s="24"/>
      <c r="J360" s="24"/>
      <c r="K360" s="26"/>
      <c r="L360" s="26"/>
      <c r="M360" s="26"/>
      <c r="N360" s="79"/>
      <c r="O360" s="22"/>
      <c r="P360" s="22"/>
      <c r="Q360" s="91"/>
      <c r="R360" s="88"/>
    </row>
    <row r="361" spans="1:18" customFormat="1" x14ac:dyDescent="0.2">
      <c r="A361" s="23"/>
      <c r="B361" s="97"/>
      <c r="C361" s="97"/>
      <c r="D361" s="24"/>
      <c r="E361" s="24"/>
      <c r="F361" s="24"/>
      <c r="G361" s="24"/>
      <c r="H361" s="24"/>
      <c r="I361" s="24"/>
      <c r="J361" s="24"/>
      <c r="K361" s="26"/>
      <c r="L361" s="26"/>
      <c r="M361" s="26"/>
      <c r="N361" s="79"/>
      <c r="O361" s="22"/>
      <c r="P361" s="22"/>
      <c r="Q361" s="91"/>
      <c r="R361" s="88"/>
    </row>
    <row r="362" spans="1:18" customFormat="1" x14ac:dyDescent="0.2">
      <c r="A362" s="23"/>
      <c r="B362" s="97"/>
      <c r="C362" s="97"/>
      <c r="D362" s="24"/>
      <c r="E362" s="24"/>
      <c r="F362" s="24"/>
      <c r="G362" s="24"/>
      <c r="H362" s="24"/>
      <c r="I362" s="24"/>
      <c r="J362" s="24"/>
      <c r="K362" s="26"/>
      <c r="L362" s="26"/>
      <c r="M362" s="26"/>
      <c r="N362" s="79"/>
      <c r="O362" s="22"/>
      <c r="P362" s="22"/>
      <c r="Q362" s="91"/>
      <c r="R362" s="88"/>
    </row>
    <row r="363" spans="1:18" customFormat="1" x14ac:dyDescent="0.2">
      <c r="A363" s="23"/>
      <c r="B363" s="97"/>
      <c r="C363" s="97"/>
      <c r="D363" s="24"/>
      <c r="E363" s="24"/>
      <c r="F363" s="24"/>
      <c r="G363" s="24"/>
      <c r="H363" s="24"/>
      <c r="I363" s="24"/>
      <c r="J363" s="24"/>
      <c r="K363" s="26"/>
      <c r="L363" s="26"/>
      <c r="M363" s="26"/>
      <c r="N363" s="79"/>
      <c r="O363" s="22"/>
      <c r="P363" s="22"/>
      <c r="Q363" s="91"/>
      <c r="R363" s="88"/>
    </row>
    <row r="364" spans="1:18" customFormat="1" x14ac:dyDescent="0.2">
      <c r="A364" s="23"/>
      <c r="B364" s="97"/>
      <c r="C364" s="97"/>
      <c r="D364" s="24"/>
      <c r="E364" s="24"/>
      <c r="F364" s="24"/>
      <c r="G364" s="24"/>
      <c r="H364" s="24"/>
      <c r="I364" s="24"/>
      <c r="J364" s="24"/>
      <c r="K364" s="26"/>
      <c r="L364" s="26"/>
      <c r="M364" s="26"/>
      <c r="N364" s="79"/>
      <c r="O364" s="22"/>
      <c r="P364" s="22"/>
      <c r="Q364" s="91"/>
      <c r="R364" s="88"/>
    </row>
    <row r="365" spans="1:18" s="18" customFormat="1" x14ac:dyDescent="0.2">
      <c r="A365" s="23"/>
      <c r="B365" s="97"/>
      <c r="C365" s="97"/>
      <c r="D365" s="24"/>
      <c r="E365" s="24"/>
      <c r="F365" s="24"/>
      <c r="G365" s="24"/>
      <c r="H365" s="24"/>
      <c r="I365" s="24"/>
      <c r="J365" s="24"/>
      <c r="K365" s="36"/>
      <c r="L365" s="26"/>
      <c r="M365" s="36"/>
      <c r="N365" s="80"/>
      <c r="O365" s="81"/>
      <c r="P365" s="81"/>
      <c r="Q365" s="92"/>
      <c r="R365" s="89"/>
    </row>
    <row r="366" spans="1:18" s="18" customFormat="1" x14ac:dyDescent="0.2">
      <c r="A366" s="23"/>
      <c r="B366" s="97"/>
      <c r="C366" s="97"/>
      <c r="D366" s="24"/>
      <c r="E366" s="24"/>
      <c r="F366" s="24"/>
      <c r="G366" s="24"/>
      <c r="H366" s="24"/>
      <c r="I366" s="24"/>
      <c r="J366" s="24"/>
      <c r="K366" s="26"/>
      <c r="L366" s="26"/>
      <c r="M366" s="26"/>
      <c r="N366" s="79"/>
      <c r="O366" s="22"/>
      <c r="P366" s="22"/>
      <c r="Q366" s="91"/>
      <c r="R366" s="88"/>
    </row>
    <row r="367" spans="1:18" s="18" customFormat="1" x14ac:dyDescent="0.2">
      <c r="A367" s="23"/>
      <c r="B367" s="97"/>
      <c r="C367" s="97"/>
      <c r="D367" s="24"/>
      <c r="E367" s="24"/>
      <c r="F367" s="24"/>
      <c r="G367" s="24"/>
      <c r="H367" s="24"/>
      <c r="I367" s="24"/>
      <c r="J367" s="24"/>
      <c r="K367" s="26"/>
      <c r="L367" s="26"/>
      <c r="M367" s="26"/>
      <c r="N367" s="79"/>
      <c r="O367" s="22"/>
      <c r="P367" s="22"/>
      <c r="Q367" s="91"/>
      <c r="R367" s="88"/>
    </row>
    <row r="368" spans="1:18" s="18" customFormat="1" x14ac:dyDescent="0.2">
      <c r="A368" s="23"/>
      <c r="B368" s="97"/>
      <c r="C368" s="97"/>
      <c r="D368" s="24"/>
      <c r="E368" s="24"/>
      <c r="F368" s="24"/>
      <c r="G368" s="24"/>
      <c r="H368" s="24"/>
      <c r="I368" s="24"/>
      <c r="J368" s="24"/>
      <c r="K368" s="26"/>
      <c r="L368" s="26"/>
      <c r="M368" s="26"/>
      <c r="N368" s="79"/>
      <c r="O368" s="22"/>
      <c r="P368" s="22"/>
      <c r="Q368" s="91"/>
      <c r="R368" s="88"/>
    </row>
    <row r="369" spans="1:18" s="18" customFormat="1" x14ac:dyDescent="0.2">
      <c r="A369" s="23"/>
      <c r="B369" s="97"/>
      <c r="C369" s="97"/>
      <c r="D369" s="24"/>
      <c r="E369" s="24"/>
      <c r="F369" s="24"/>
      <c r="G369" s="24"/>
      <c r="H369" s="24"/>
      <c r="I369" s="24"/>
      <c r="J369" s="24"/>
      <c r="K369" s="26"/>
      <c r="L369" s="26"/>
      <c r="M369" s="26"/>
      <c r="N369" s="79"/>
      <c r="O369" s="22"/>
      <c r="P369" s="22"/>
      <c r="Q369" s="91"/>
      <c r="R369" s="88"/>
    </row>
    <row r="370" spans="1:18" s="18" customFormat="1" x14ac:dyDescent="0.2">
      <c r="A370" s="23"/>
      <c r="B370" s="97"/>
      <c r="C370" s="97"/>
      <c r="D370" s="24"/>
      <c r="E370" s="24"/>
      <c r="F370" s="24"/>
      <c r="G370" s="24"/>
      <c r="H370" s="24"/>
      <c r="I370" s="24"/>
      <c r="J370" s="24"/>
      <c r="K370" s="26"/>
      <c r="L370" s="26"/>
      <c r="M370" s="26"/>
      <c r="N370" s="79"/>
      <c r="O370" s="22"/>
      <c r="P370" s="22"/>
      <c r="Q370" s="91"/>
      <c r="R370" s="88"/>
    </row>
    <row r="371" spans="1:18" s="18" customFormat="1" x14ac:dyDescent="0.2">
      <c r="A371" s="23"/>
      <c r="B371" s="97"/>
      <c r="C371" s="97"/>
      <c r="D371" s="24"/>
      <c r="E371" s="24"/>
      <c r="F371" s="24"/>
      <c r="G371" s="24"/>
      <c r="H371" s="24"/>
      <c r="I371" s="24"/>
      <c r="J371" s="24"/>
      <c r="K371" s="26"/>
      <c r="L371" s="26"/>
      <c r="M371" s="26"/>
      <c r="N371" s="79"/>
      <c r="O371" s="22"/>
      <c r="P371" s="22"/>
      <c r="Q371" s="91"/>
      <c r="R371" s="88"/>
    </row>
    <row r="372" spans="1:18" s="18" customFormat="1" x14ac:dyDescent="0.2">
      <c r="A372" s="23"/>
      <c r="B372" s="97"/>
      <c r="C372" s="97"/>
      <c r="D372" s="24"/>
      <c r="E372" s="24"/>
      <c r="F372" s="24"/>
      <c r="G372" s="24"/>
      <c r="H372" s="24"/>
      <c r="I372" s="24"/>
      <c r="J372" s="24"/>
      <c r="K372" s="26"/>
      <c r="L372" s="26"/>
      <c r="M372" s="26"/>
      <c r="N372" s="79"/>
      <c r="O372" s="22"/>
      <c r="P372" s="22"/>
      <c r="Q372" s="91"/>
      <c r="R372" s="88"/>
    </row>
    <row r="373" spans="1:18" s="20" customFormat="1" x14ac:dyDescent="0.2">
      <c r="A373" s="23"/>
      <c r="B373" s="97"/>
      <c r="C373" s="97"/>
      <c r="D373" s="24"/>
      <c r="E373" s="24"/>
      <c r="F373" s="24"/>
      <c r="G373" s="24"/>
      <c r="H373" s="24"/>
      <c r="I373" s="24"/>
      <c r="J373" s="24"/>
      <c r="K373" s="26"/>
      <c r="L373" s="26"/>
      <c r="M373" s="26"/>
      <c r="N373" s="79"/>
      <c r="O373" s="22"/>
      <c r="P373" s="22"/>
      <c r="Q373" s="91"/>
      <c r="R373" s="88"/>
    </row>
    <row r="374" spans="1:18" s="18" customFormat="1" x14ac:dyDescent="0.2">
      <c r="A374" s="23"/>
      <c r="B374" s="97"/>
      <c r="C374" s="97"/>
      <c r="D374" s="24"/>
      <c r="E374" s="24"/>
      <c r="F374" s="24"/>
      <c r="G374" s="24"/>
      <c r="H374" s="24"/>
      <c r="I374" s="24"/>
      <c r="J374" s="24"/>
      <c r="K374" s="26"/>
      <c r="L374" s="26"/>
      <c r="M374" s="26"/>
      <c r="N374" s="79"/>
      <c r="O374" s="22"/>
      <c r="P374" s="22"/>
      <c r="Q374" s="91"/>
      <c r="R374" s="88"/>
    </row>
    <row r="375" spans="1:18" s="18" customFormat="1" x14ac:dyDescent="0.2">
      <c r="A375" s="23"/>
      <c r="B375" s="97"/>
      <c r="C375" s="97"/>
      <c r="D375" s="24"/>
      <c r="E375" s="24"/>
      <c r="F375" s="24"/>
      <c r="G375" s="24"/>
      <c r="H375" s="24"/>
      <c r="I375" s="24"/>
      <c r="J375" s="24"/>
      <c r="K375" s="26"/>
      <c r="L375" s="26"/>
      <c r="M375" s="26"/>
      <c r="N375" s="79"/>
      <c r="O375" s="22"/>
      <c r="P375" s="22"/>
      <c r="Q375" s="91"/>
      <c r="R375" s="88"/>
    </row>
    <row r="376" spans="1:18" s="18" customFormat="1" x14ac:dyDescent="0.2">
      <c r="A376" s="23"/>
      <c r="B376" s="97"/>
      <c r="C376" s="97"/>
      <c r="D376" s="24"/>
      <c r="E376" s="24"/>
      <c r="F376" s="24"/>
      <c r="G376" s="24"/>
      <c r="H376" s="24"/>
      <c r="I376" s="24"/>
      <c r="J376" s="24"/>
      <c r="K376" s="26"/>
      <c r="L376" s="26"/>
      <c r="M376" s="26"/>
      <c r="N376" s="79"/>
      <c r="O376" s="22"/>
      <c r="P376" s="22"/>
      <c r="Q376" s="91"/>
      <c r="R376" s="88"/>
    </row>
    <row r="377" spans="1:18" s="18" customFormat="1" x14ac:dyDescent="0.2">
      <c r="A377" s="23"/>
      <c r="B377" s="97"/>
      <c r="C377" s="97"/>
      <c r="D377" s="24"/>
      <c r="E377" s="24"/>
      <c r="F377" s="24"/>
      <c r="G377" s="24"/>
      <c r="H377" s="24"/>
      <c r="I377" s="24"/>
      <c r="J377" s="24"/>
      <c r="K377" s="26"/>
      <c r="L377" s="26"/>
      <c r="M377" s="26"/>
      <c r="N377" s="79"/>
      <c r="O377" s="22"/>
      <c r="P377" s="22"/>
      <c r="Q377" s="91"/>
      <c r="R377" s="88"/>
    </row>
    <row r="378" spans="1:18" s="18" customFormat="1" x14ac:dyDescent="0.2">
      <c r="A378" s="23"/>
      <c r="B378" s="97"/>
      <c r="C378" s="97"/>
      <c r="D378" s="24"/>
      <c r="E378" s="24"/>
      <c r="F378" s="24"/>
      <c r="G378" s="24"/>
      <c r="H378" s="24"/>
      <c r="I378" s="24"/>
      <c r="J378" s="24"/>
      <c r="K378" s="26"/>
      <c r="L378" s="26"/>
      <c r="M378" s="26"/>
      <c r="N378" s="79"/>
      <c r="O378" s="22"/>
      <c r="P378" s="22"/>
      <c r="Q378" s="91"/>
      <c r="R378" s="88"/>
    </row>
    <row r="379" spans="1:18" s="18" customFormat="1" x14ac:dyDescent="0.2">
      <c r="A379" s="23"/>
      <c r="B379" s="97"/>
      <c r="C379" s="97"/>
      <c r="D379" s="24"/>
      <c r="E379" s="24"/>
      <c r="F379" s="24"/>
      <c r="G379" s="24"/>
      <c r="H379" s="24"/>
      <c r="I379" s="24"/>
      <c r="J379" s="24"/>
      <c r="K379" s="26"/>
      <c r="L379" s="26"/>
      <c r="M379" s="26"/>
      <c r="N379" s="79"/>
      <c r="O379" s="22"/>
      <c r="P379" s="22"/>
      <c r="Q379" s="91"/>
      <c r="R379" s="88"/>
    </row>
    <row r="380" spans="1:18" s="18" customFormat="1" x14ac:dyDescent="0.2">
      <c r="A380" s="23"/>
      <c r="B380" s="97"/>
      <c r="C380" s="97"/>
      <c r="D380" s="24"/>
      <c r="E380" s="24"/>
      <c r="F380" s="24"/>
      <c r="G380" s="24"/>
      <c r="H380" s="24"/>
      <c r="I380" s="24"/>
      <c r="J380" s="24"/>
      <c r="K380" s="36"/>
      <c r="L380" s="26"/>
      <c r="M380" s="36"/>
      <c r="N380" s="79"/>
      <c r="O380" s="36"/>
      <c r="P380" s="36"/>
      <c r="Q380" s="91"/>
      <c r="R380" s="88"/>
    </row>
    <row r="381" spans="1:18" x14ac:dyDescent="0.2">
      <c r="A381" s="23"/>
      <c r="B381" s="97"/>
      <c r="C381" s="97"/>
      <c r="D381" s="24"/>
      <c r="E381" s="24"/>
      <c r="F381" s="24"/>
      <c r="G381" s="24"/>
      <c r="H381" s="24"/>
      <c r="I381" s="24"/>
      <c r="J381" s="24"/>
      <c r="K381" s="26"/>
      <c r="L381" s="26"/>
      <c r="M381" s="26"/>
      <c r="N381" s="79"/>
      <c r="O381" s="22"/>
      <c r="P381" s="22"/>
      <c r="Q381" s="91"/>
      <c r="R381" s="88"/>
    </row>
    <row r="382" spans="1:18" x14ac:dyDescent="0.2">
      <c r="A382" s="23"/>
      <c r="B382" s="97"/>
      <c r="C382" s="97"/>
      <c r="D382" s="24"/>
      <c r="E382" s="24"/>
      <c r="F382" s="24"/>
      <c r="G382" s="24"/>
      <c r="H382" s="24"/>
      <c r="I382" s="24"/>
      <c r="J382" s="24"/>
      <c r="K382" s="26"/>
      <c r="L382" s="26"/>
      <c r="M382" s="26"/>
      <c r="N382" s="79"/>
      <c r="O382" s="22"/>
      <c r="P382" s="22"/>
      <c r="Q382" s="91"/>
      <c r="R382" s="88"/>
    </row>
    <row r="383" spans="1:18" x14ac:dyDescent="0.2">
      <c r="A383" s="23"/>
      <c r="B383" s="97"/>
      <c r="C383" s="97"/>
      <c r="D383" s="24"/>
      <c r="E383" s="24"/>
      <c r="F383" s="24"/>
      <c r="G383" s="24"/>
      <c r="H383" s="24"/>
      <c r="I383" s="24"/>
      <c r="J383" s="24"/>
      <c r="K383" s="26"/>
      <c r="L383" s="26"/>
      <c r="M383" s="26"/>
      <c r="N383" s="79"/>
      <c r="O383" s="22"/>
      <c r="P383" s="22"/>
      <c r="Q383" s="91"/>
      <c r="R383" s="88"/>
    </row>
    <row r="384" spans="1:18" x14ac:dyDescent="0.2">
      <c r="A384" s="23"/>
      <c r="B384" s="97"/>
      <c r="C384" s="97"/>
      <c r="D384" s="24"/>
      <c r="E384" s="24"/>
      <c r="F384" s="24"/>
      <c r="G384" s="24"/>
      <c r="H384" s="24"/>
      <c r="I384" s="24"/>
      <c r="J384" s="24"/>
      <c r="K384" s="26"/>
      <c r="L384" s="26"/>
      <c r="M384" s="26"/>
      <c r="N384" s="79"/>
      <c r="O384" s="22"/>
      <c r="P384" s="22"/>
      <c r="Q384" s="91"/>
      <c r="R384" s="88"/>
    </row>
    <row r="385" spans="1:18" x14ac:dyDescent="0.2">
      <c r="A385" s="23"/>
      <c r="B385" s="97"/>
      <c r="C385" s="97"/>
      <c r="D385" s="24"/>
      <c r="E385" s="24"/>
      <c r="F385" s="24"/>
      <c r="G385" s="24"/>
      <c r="H385" s="24"/>
      <c r="I385" s="24"/>
      <c r="J385" s="24"/>
      <c r="K385" s="26"/>
      <c r="L385" s="26"/>
      <c r="M385" s="26"/>
      <c r="N385" s="79"/>
      <c r="O385" s="22"/>
      <c r="P385" s="22"/>
      <c r="Q385" s="91"/>
      <c r="R385" s="88"/>
    </row>
    <row r="386" spans="1:18" x14ac:dyDescent="0.2">
      <c r="A386" s="23"/>
      <c r="B386" s="97"/>
      <c r="C386" s="97"/>
      <c r="D386" s="24"/>
      <c r="E386" s="24"/>
      <c r="F386" s="24"/>
      <c r="G386" s="24"/>
      <c r="H386" s="24"/>
      <c r="I386" s="24"/>
      <c r="J386" s="24"/>
      <c r="K386" s="26"/>
      <c r="L386" s="26"/>
      <c r="M386" s="26"/>
      <c r="N386" s="79"/>
      <c r="O386" s="22"/>
      <c r="P386" s="22"/>
      <c r="Q386" s="91"/>
      <c r="R386" s="88"/>
    </row>
    <row r="387" spans="1:18" x14ac:dyDescent="0.2">
      <c r="A387" s="23"/>
      <c r="B387" s="97"/>
      <c r="C387" s="97"/>
      <c r="D387" s="24"/>
      <c r="E387" s="24"/>
      <c r="F387" s="24"/>
      <c r="G387" s="24"/>
      <c r="H387" s="24"/>
      <c r="I387" s="24"/>
      <c r="J387" s="24"/>
      <c r="K387" s="26"/>
      <c r="L387" s="26"/>
      <c r="M387" s="26"/>
      <c r="N387" s="79"/>
      <c r="O387" s="22"/>
      <c r="P387" s="22"/>
      <c r="Q387" s="91"/>
      <c r="R387" s="88"/>
    </row>
    <row r="388" spans="1:18" x14ac:dyDescent="0.2">
      <c r="A388" s="23"/>
      <c r="B388" s="97"/>
      <c r="C388" s="97"/>
      <c r="D388" s="24"/>
      <c r="E388" s="24"/>
      <c r="F388" s="24"/>
      <c r="G388" s="24"/>
      <c r="H388" s="24"/>
      <c r="I388" s="24"/>
      <c r="J388" s="24"/>
      <c r="K388" s="26"/>
      <c r="L388" s="26"/>
      <c r="M388" s="26"/>
      <c r="N388" s="79"/>
      <c r="O388" s="22"/>
      <c r="P388" s="22"/>
      <c r="Q388" s="91"/>
      <c r="R388" s="88"/>
    </row>
    <row r="389" spans="1:18" x14ac:dyDescent="0.2">
      <c r="A389" s="23"/>
      <c r="B389" s="97"/>
      <c r="C389" s="97"/>
      <c r="D389" s="24"/>
      <c r="E389" s="24"/>
      <c r="F389" s="24"/>
      <c r="G389" s="24"/>
      <c r="H389" s="24"/>
      <c r="I389" s="24"/>
      <c r="J389" s="24"/>
      <c r="K389" s="26"/>
      <c r="L389" s="26"/>
      <c r="M389" s="26"/>
      <c r="N389" s="79"/>
      <c r="O389" s="22"/>
      <c r="P389" s="22"/>
      <c r="Q389" s="91"/>
      <c r="R389" s="88"/>
    </row>
    <row r="390" spans="1:18" x14ac:dyDescent="0.2">
      <c r="A390" s="23"/>
      <c r="B390" s="97"/>
      <c r="C390" s="97"/>
      <c r="D390" s="24"/>
      <c r="E390" s="24"/>
      <c r="F390" s="24"/>
      <c r="G390" s="24"/>
      <c r="H390" s="24"/>
      <c r="I390" s="24"/>
      <c r="J390" s="24"/>
      <c r="K390" s="26"/>
      <c r="L390" s="26"/>
      <c r="M390" s="26"/>
      <c r="N390" s="79"/>
      <c r="O390" s="22"/>
      <c r="P390" s="22"/>
      <c r="Q390" s="91"/>
      <c r="R390" s="88"/>
    </row>
    <row r="391" spans="1:18" x14ac:dyDescent="0.2">
      <c r="A391" s="23"/>
      <c r="B391" s="97"/>
      <c r="C391" s="97"/>
      <c r="D391" s="24"/>
      <c r="E391" s="24"/>
      <c r="F391" s="24"/>
      <c r="G391" s="24"/>
      <c r="H391" s="24"/>
      <c r="I391" s="24"/>
      <c r="J391" s="24"/>
      <c r="K391" s="26"/>
      <c r="L391" s="26"/>
      <c r="M391" s="26"/>
      <c r="N391" s="79"/>
      <c r="O391" s="22"/>
      <c r="P391" s="22"/>
      <c r="Q391" s="91"/>
      <c r="R391" s="88"/>
    </row>
    <row r="392" spans="1:18" x14ac:dyDescent="0.2">
      <c r="A392" s="23"/>
      <c r="B392" s="97"/>
      <c r="C392" s="97"/>
      <c r="D392" s="24"/>
      <c r="E392" s="24"/>
      <c r="F392" s="24"/>
      <c r="G392" s="24"/>
      <c r="H392" s="24"/>
      <c r="I392" s="24"/>
      <c r="J392" s="24"/>
      <c r="K392" s="26"/>
      <c r="L392" s="26"/>
      <c r="M392" s="26"/>
      <c r="N392" s="79"/>
      <c r="O392" s="22"/>
      <c r="P392" s="22"/>
      <c r="Q392" s="91"/>
      <c r="R392" s="88"/>
    </row>
    <row r="393" spans="1:18" x14ac:dyDescent="0.2">
      <c r="A393" s="23"/>
      <c r="B393" s="97"/>
      <c r="C393" s="97"/>
      <c r="D393" s="24"/>
      <c r="E393" s="24"/>
      <c r="F393" s="24"/>
      <c r="G393" s="24"/>
      <c r="H393" s="24"/>
      <c r="I393" s="24"/>
      <c r="J393" s="24"/>
      <c r="K393" s="26"/>
      <c r="L393" s="26"/>
      <c r="M393" s="26"/>
      <c r="N393" s="79"/>
      <c r="O393" s="22"/>
      <c r="P393" s="22"/>
      <c r="Q393" s="91"/>
      <c r="R393" s="88"/>
    </row>
    <row r="394" spans="1:18" x14ac:dyDescent="0.2">
      <c r="A394" s="23"/>
      <c r="B394" s="97"/>
      <c r="C394" s="97"/>
      <c r="D394" s="24"/>
      <c r="E394" s="24"/>
      <c r="F394" s="24"/>
      <c r="G394" s="24"/>
      <c r="H394" s="24"/>
      <c r="I394" s="24"/>
      <c r="J394" s="24"/>
      <c r="K394" s="26"/>
      <c r="L394" s="26"/>
      <c r="M394" s="26"/>
      <c r="N394" s="79"/>
      <c r="O394" s="22"/>
      <c r="P394" s="22"/>
      <c r="Q394" s="91"/>
      <c r="R394" s="88"/>
    </row>
    <row r="395" spans="1:18" x14ac:dyDescent="0.2">
      <c r="A395" s="23"/>
      <c r="B395" s="97"/>
      <c r="C395" s="97"/>
      <c r="D395" s="24"/>
      <c r="E395" s="24"/>
      <c r="F395" s="24"/>
      <c r="G395" s="24"/>
      <c r="H395" s="24"/>
      <c r="I395" s="24"/>
      <c r="J395" s="24"/>
      <c r="K395" s="26"/>
      <c r="L395" s="26"/>
      <c r="M395" s="26"/>
      <c r="N395" s="79"/>
      <c r="O395" s="22"/>
      <c r="P395" s="22"/>
      <c r="Q395" s="91"/>
      <c r="R395" s="88"/>
    </row>
    <row r="396" spans="1:18" x14ac:dyDescent="0.2">
      <c r="A396" s="23"/>
      <c r="B396" s="97"/>
      <c r="C396" s="97"/>
      <c r="D396" s="24"/>
      <c r="E396" s="24"/>
      <c r="F396" s="24"/>
      <c r="G396" s="24"/>
      <c r="H396" s="24"/>
      <c r="I396" s="24"/>
      <c r="J396" s="24"/>
      <c r="K396" s="26"/>
      <c r="L396" s="26"/>
      <c r="M396" s="26"/>
      <c r="N396" s="79"/>
      <c r="O396" s="22"/>
      <c r="P396" s="22"/>
      <c r="Q396" s="91"/>
      <c r="R396" s="88"/>
    </row>
    <row r="397" spans="1:18" x14ac:dyDescent="0.2">
      <c r="A397" s="23"/>
      <c r="B397" s="97"/>
      <c r="C397" s="97"/>
      <c r="D397" s="24"/>
      <c r="E397" s="24"/>
      <c r="F397" s="24"/>
      <c r="G397" s="24"/>
      <c r="H397" s="24"/>
      <c r="I397" s="24"/>
      <c r="J397" s="24"/>
      <c r="K397" s="26"/>
      <c r="L397" s="26"/>
      <c r="M397" s="26"/>
      <c r="N397" s="79"/>
      <c r="O397" s="22"/>
      <c r="P397" s="22"/>
      <c r="Q397" s="91"/>
      <c r="R397" s="88"/>
    </row>
    <row r="398" spans="1:18" x14ac:dyDescent="0.2">
      <c r="A398" s="23"/>
      <c r="B398" s="97"/>
      <c r="C398" s="97"/>
      <c r="D398" s="24"/>
      <c r="E398" s="24"/>
      <c r="F398" s="24"/>
      <c r="G398" s="24"/>
      <c r="H398" s="24"/>
      <c r="I398" s="24"/>
      <c r="J398" s="24"/>
      <c r="K398" s="26"/>
      <c r="L398" s="26"/>
      <c r="M398" s="26"/>
      <c r="N398" s="79"/>
      <c r="O398" s="22"/>
      <c r="P398" s="22"/>
      <c r="Q398" s="91"/>
      <c r="R398" s="88"/>
    </row>
    <row r="399" spans="1:18" x14ac:dyDescent="0.2">
      <c r="A399" s="23"/>
      <c r="B399" s="97"/>
      <c r="C399" s="97"/>
      <c r="D399" s="24"/>
      <c r="E399" s="24"/>
      <c r="F399" s="24"/>
      <c r="G399" s="24"/>
      <c r="H399" s="24"/>
      <c r="I399" s="24"/>
      <c r="J399" s="24"/>
      <c r="K399" s="26"/>
      <c r="L399" s="26"/>
      <c r="M399" s="26"/>
      <c r="N399" s="79"/>
      <c r="O399" s="22"/>
      <c r="P399" s="22"/>
      <c r="Q399" s="91"/>
      <c r="R399" s="88"/>
    </row>
    <row r="400" spans="1:18" x14ac:dyDescent="0.2">
      <c r="A400" s="23"/>
      <c r="B400" s="97"/>
      <c r="C400" s="97"/>
      <c r="D400" s="24"/>
      <c r="E400" s="24"/>
      <c r="F400" s="24"/>
      <c r="G400" s="24"/>
      <c r="H400" s="24"/>
      <c r="I400" s="24"/>
      <c r="J400" s="24"/>
      <c r="K400" s="26"/>
      <c r="L400" s="26"/>
      <c r="M400" s="26"/>
      <c r="N400" s="79"/>
      <c r="O400" s="22"/>
      <c r="P400" s="22"/>
      <c r="Q400" s="91"/>
      <c r="R400" s="88"/>
    </row>
    <row r="401" spans="1:18" x14ac:dyDescent="0.2">
      <c r="A401" s="23"/>
      <c r="B401" s="97"/>
      <c r="C401" s="97"/>
      <c r="D401" s="24"/>
      <c r="E401" s="24"/>
      <c r="F401" s="24"/>
      <c r="G401" s="24"/>
      <c r="H401" s="24"/>
      <c r="I401" s="24"/>
      <c r="J401" s="24"/>
      <c r="K401" s="26"/>
      <c r="L401" s="26"/>
      <c r="M401" s="26"/>
      <c r="N401" s="79"/>
      <c r="O401" s="22"/>
      <c r="P401" s="22"/>
      <c r="Q401" s="91"/>
      <c r="R401" s="88"/>
    </row>
    <row r="402" spans="1:18" x14ac:dyDescent="0.2">
      <c r="A402" s="23"/>
      <c r="B402" s="97"/>
      <c r="C402" s="97"/>
      <c r="D402" s="24"/>
      <c r="E402" s="24"/>
      <c r="F402" s="24"/>
      <c r="G402" s="24"/>
      <c r="H402" s="24"/>
      <c r="I402" s="24"/>
      <c r="J402" s="24"/>
      <c r="K402" s="26"/>
      <c r="L402" s="26"/>
      <c r="M402" s="26"/>
      <c r="N402" s="79"/>
      <c r="O402" s="22"/>
      <c r="P402" s="22"/>
      <c r="Q402" s="91"/>
      <c r="R402" s="88"/>
    </row>
    <row r="403" spans="1:18" x14ac:dyDescent="0.2">
      <c r="A403" s="23"/>
      <c r="B403" s="97"/>
      <c r="C403" s="97"/>
      <c r="D403" s="24"/>
      <c r="E403" s="24"/>
      <c r="F403" s="24"/>
      <c r="G403" s="24"/>
      <c r="H403" s="24"/>
      <c r="I403" s="24"/>
      <c r="J403" s="24"/>
      <c r="K403" s="26"/>
      <c r="L403" s="26"/>
      <c r="M403" s="26"/>
      <c r="N403" s="79"/>
      <c r="O403" s="22"/>
      <c r="P403" s="22"/>
      <c r="Q403" s="91"/>
      <c r="R403" s="88"/>
    </row>
    <row r="404" spans="1:18" x14ac:dyDescent="0.2">
      <c r="A404" s="23"/>
      <c r="B404" s="97"/>
      <c r="C404" s="97"/>
      <c r="D404" s="24"/>
      <c r="E404" s="24"/>
      <c r="F404" s="24"/>
      <c r="G404" s="24"/>
      <c r="H404" s="24"/>
      <c r="I404" s="24"/>
      <c r="J404" s="24"/>
      <c r="K404" s="26"/>
      <c r="L404" s="26"/>
      <c r="M404" s="26"/>
      <c r="N404" s="79"/>
      <c r="O404" s="22"/>
      <c r="P404" s="22"/>
      <c r="Q404" s="91"/>
      <c r="R404" s="88"/>
    </row>
    <row r="405" spans="1:18" ht="90.75" customHeight="1" x14ac:dyDescent="0.2">
      <c r="A405" s="23"/>
      <c r="B405" s="97"/>
      <c r="C405" s="97"/>
      <c r="D405" s="24"/>
      <c r="E405" s="24"/>
      <c r="F405" s="24"/>
      <c r="G405" s="24"/>
      <c r="H405" s="24"/>
      <c r="I405" s="24"/>
      <c r="J405" s="24"/>
      <c r="K405" s="36"/>
      <c r="L405" s="26"/>
      <c r="M405" s="26"/>
      <c r="N405" s="79"/>
      <c r="O405" s="22"/>
      <c r="P405" s="22"/>
      <c r="Q405" s="91"/>
      <c r="R405" s="88"/>
    </row>
    <row r="406" spans="1:18" x14ac:dyDescent="0.2">
      <c r="A406" s="23"/>
      <c r="B406" s="97"/>
      <c r="C406" s="97"/>
      <c r="D406" s="24"/>
      <c r="E406" s="24"/>
      <c r="F406" s="24"/>
      <c r="G406" s="24"/>
      <c r="H406" s="24"/>
      <c r="I406" s="24"/>
      <c r="J406" s="24"/>
      <c r="K406" s="36"/>
      <c r="L406" s="36"/>
      <c r="M406" s="36"/>
      <c r="N406" s="80"/>
      <c r="O406" s="81"/>
      <c r="P406" s="81"/>
      <c r="Q406" s="92"/>
      <c r="R406" s="89"/>
    </row>
    <row r="407" spans="1:18" x14ac:dyDescent="0.2">
      <c r="A407" s="23"/>
      <c r="B407" s="97"/>
      <c r="C407" s="97"/>
      <c r="D407" s="24"/>
      <c r="E407" s="24"/>
      <c r="F407" s="24"/>
      <c r="G407" s="24"/>
      <c r="H407" s="24"/>
      <c r="I407" s="24"/>
      <c r="J407" s="24"/>
      <c r="K407" s="26"/>
      <c r="L407" s="26"/>
      <c r="M407" s="26"/>
      <c r="N407" s="79"/>
      <c r="O407" s="22"/>
      <c r="P407" s="22"/>
      <c r="Q407" s="91"/>
      <c r="R407" s="88"/>
    </row>
    <row r="408" spans="1:18" x14ac:dyDescent="0.2">
      <c r="A408" s="23"/>
      <c r="B408" s="97"/>
      <c r="C408" s="97"/>
      <c r="D408" s="24"/>
      <c r="E408" s="24"/>
      <c r="F408" s="24"/>
      <c r="G408" s="24"/>
      <c r="H408" s="24"/>
      <c r="I408" s="24"/>
      <c r="J408" s="24"/>
      <c r="K408" s="26"/>
      <c r="L408" s="26"/>
      <c r="M408" s="26"/>
      <c r="N408" s="79"/>
      <c r="O408" s="22"/>
      <c r="P408" s="22"/>
      <c r="Q408" s="91"/>
      <c r="R408" s="88"/>
    </row>
    <row r="409" spans="1:18" x14ac:dyDescent="0.2">
      <c r="A409" s="23"/>
      <c r="B409" s="97"/>
      <c r="C409" s="97"/>
      <c r="D409" s="24"/>
      <c r="E409" s="24"/>
      <c r="F409" s="24"/>
      <c r="G409" s="24"/>
      <c r="H409" s="24"/>
      <c r="I409" s="24"/>
      <c r="J409" s="24"/>
      <c r="K409" s="26"/>
      <c r="L409" s="26"/>
      <c r="M409" s="26"/>
      <c r="N409" s="79"/>
      <c r="O409" s="22"/>
      <c r="P409" s="22"/>
      <c r="Q409" s="91"/>
      <c r="R409" s="88"/>
    </row>
    <row r="410" spans="1:18" x14ac:dyDescent="0.2">
      <c r="A410" s="23"/>
      <c r="B410" s="97"/>
      <c r="C410" s="97"/>
      <c r="D410" s="24"/>
      <c r="E410" s="24"/>
      <c r="F410" s="24"/>
      <c r="G410" s="24"/>
      <c r="H410" s="24"/>
      <c r="I410" s="24"/>
      <c r="J410" s="24"/>
      <c r="K410" s="26"/>
      <c r="L410" s="26"/>
      <c r="M410" s="26"/>
      <c r="N410" s="79"/>
      <c r="O410" s="22"/>
      <c r="P410" s="22"/>
      <c r="Q410" s="91"/>
      <c r="R410" s="88"/>
    </row>
    <row r="411" spans="1:18" x14ac:dyDescent="0.2">
      <c r="A411" s="23"/>
      <c r="B411" s="97"/>
      <c r="C411" s="97"/>
      <c r="D411" s="24"/>
      <c r="E411" s="24"/>
      <c r="F411" s="24"/>
      <c r="G411" s="24"/>
      <c r="H411" s="24"/>
      <c r="I411" s="24"/>
      <c r="J411" s="24"/>
      <c r="K411" s="26"/>
      <c r="L411" s="26"/>
      <c r="M411" s="26"/>
      <c r="N411" s="79"/>
      <c r="O411" s="22"/>
      <c r="P411" s="22"/>
      <c r="Q411" s="91"/>
      <c r="R411" s="88"/>
    </row>
    <row r="412" spans="1:18" x14ac:dyDescent="0.2">
      <c r="A412" s="23"/>
      <c r="B412" s="97"/>
      <c r="C412" s="97"/>
      <c r="D412" s="24"/>
      <c r="E412" s="24"/>
      <c r="F412" s="24"/>
      <c r="G412" s="24"/>
      <c r="H412" s="24"/>
      <c r="I412" s="24"/>
      <c r="J412" s="24"/>
      <c r="K412" s="26"/>
      <c r="L412" s="26"/>
      <c r="M412" s="26"/>
      <c r="N412" s="79"/>
      <c r="O412" s="22"/>
      <c r="P412" s="22"/>
      <c r="Q412" s="91"/>
      <c r="R412" s="88"/>
    </row>
    <row r="413" spans="1:18" x14ac:dyDescent="0.2">
      <c r="A413" s="23"/>
      <c r="B413" s="97"/>
      <c r="C413" s="97"/>
      <c r="D413" s="24"/>
      <c r="E413" s="24"/>
      <c r="F413" s="24"/>
      <c r="G413" s="24"/>
      <c r="H413" s="24"/>
      <c r="I413" s="24"/>
      <c r="J413" s="24"/>
      <c r="K413" s="26"/>
      <c r="L413" s="26"/>
      <c r="M413" s="26"/>
      <c r="N413" s="79"/>
      <c r="O413" s="22"/>
      <c r="P413" s="22"/>
      <c r="Q413" s="91"/>
      <c r="R413" s="88"/>
    </row>
    <row r="414" spans="1:18" x14ac:dyDescent="0.2">
      <c r="A414" s="23"/>
      <c r="B414" s="97"/>
      <c r="C414" s="97"/>
      <c r="D414" s="24"/>
      <c r="E414" s="24"/>
      <c r="F414" s="24"/>
      <c r="G414" s="24"/>
      <c r="H414" s="24"/>
      <c r="I414" s="24"/>
      <c r="J414" s="24"/>
      <c r="K414" s="26"/>
      <c r="L414" s="26"/>
      <c r="M414" s="26"/>
      <c r="N414" s="79"/>
      <c r="O414" s="22"/>
      <c r="P414" s="22"/>
      <c r="Q414" s="91"/>
      <c r="R414" s="88"/>
    </row>
    <row r="415" spans="1:18" x14ac:dyDescent="0.2">
      <c r="A415" s="23"/>
      <c r="B415" s="97"/>
      <c r="C415" s="97"/>
      <c r="D415" s="24"/>
      <c r="E415" s="24"/>
      <c r="F415" s="24"/>
      <c r="G415" s="24"/>
      <c r="H415" s="24"/>
      <c r="I415" s="24"/>
      <c r="J415" s="24"/>
      <c r="K415" s="26"/>
      <c r="L415" s="26"/>
      <c r="M415" s="26"/>
      <c r="N415" s="79"/>
      <c r="O415" s="22"/>
      <c r="P415" s="22"/>
      <c r="Q415" s="91"/>
      <c r="R415" s="88"/>
    </row>
    <row r="416" spans="1:18" x14ac:dyDescent="0.2">
      <c r="A416" s="23"/>
      <c r="B416" s="97"/>
      <c r="C416" s="97"/>
      <c r="D416" s="24"/>
      <c r="E416" s="24"/>
      <c r="F416" s="24"/>
      <c r="G416" s="24"/>
      <c r="H416" s="24"/>
      <c r="I416" s="24"/>
      <c r="J416" s="24"/>
      <c r="K416" s="26"/>
      <c r="L416" s="26"/>
      <c r="M416" s="26"/>
      <c r="N416" s="79"/>
      <c r="O416" s="22"/>
      <c r="P416" s="22"/>
      <c r="Q416" s="91"/>
      <c r="R416" s="88"/>
    </row>
    <row r="417" spans="1:18" x14ac:dyDescent="0.2">
      <c r="A417" s="23"/>
      <c r="B417" s="97"/>
      <c r="C417" s="97"/>
      <c r="D417" s="24"/>
      <c r="E417" s="24"/>
      <c r="F417" s="24"/>
      <c r="G417" s="24"/>
      <c r="H417" s="24"/>
      <c r="I417" s="24"/>
      <c r="J417" s="24"/>
      <c r="K417" s="26"/>
      <c r="L417" s="26"/>
      <c r="M417" s="26"/>
      <c r="N417" s="79"/>
      <c r="O417" s="22"/>
      <c r="P417" s="22"/>
      <c r="Q417" s="91"/>
      <c r="R417" s="88"/>
    </row>
    <row r="418" spans="1:18" x14ac:dyDescent="0.2">
      <c r="A418" s="23"/>
      <c r="B418" s="97"/>
      <c r="C418" s="97"/>
      <c r="D418" s="24"/>
      <c r="E418" s="24"/>
      <c r="F418" s="24"/>
      <c r="G418" s="24"/>
      <c r="H418" s="24"/>
      <c r="I418" s="24"/>
      <c r="J418" s="24"/>
      <c r="K418" s="26"/>
      <c r="L418" s="26"/>
      <c r="M418" s="26"/>
      <c r="N418" s="79"/>
      <c r="O418" s="22"/>
      <c r="P418" s="22"/>
      <c r="Q418" s="91"/>
      <c r="R418" s="88"/>
    </row>
    <row r="419" spans="1:18" x14ac:dyDescent="0.2">
      <c r="A419" s="23"/>
      <c r="B419" s="97"/>
      <c r="C419" s="97"/>
      <c r="D419" s="24"/>
      <c r="E419" s="24"/>
      <c r="F419" s="24"/>
      <c r="G419" s="24"/>
      <c r="H419" s="24"/>
      <c r="I419" s="24"/>
      <c r="J419" s="24"/>
      <c r="K419" s="36"/>
      <c r="L419" s="36"/>
      <c r="M419" s="36"/>
      <c r="N419" s="80"/>
      <c r="O419" s="81"/>
      <c r="P419" s="81"/>
      <c r="Q419" s="92"/>
      <c r="R419" s="89"/>
    </row>
    <row r="420" spans="1:18" x14ac:dyDescent="0.2">
      <c r="A420" s="23"/>
      <c r="B420" s="97"/>
      <c r="C420" s="97"/>
      <c r="D420" s="24"/>
      <c r="E420" s="24"/>
      <c r="F420" s="24"/>
      <c r="G420" s="24"/>
      <c r="H420" s="24"/>
      <c r="I420" s="24"/>
      <c r="J420" s="24"/>
      <c r="K420" s="26"/>
      <c r="L420" s="26"/>
      <c r="M420" s="26"/>
      <c r="N420" s="79"/>
      <c r="O420" s="22"/>
      <c r="P420" s="22"/>
      <c r="Q420" s="91"/>
      <c r="R420" s="88"/>
    </row>
    <row r="421" spans="1:18" x14ac:dyDescent="0.2">
      <c r="A421" s="23"/>
      <c r="B421" s="97"/>
      <c r="C421" s="97"/>
      <c r="D421" s="24"/>
      <c r="E421" s="24"/>
      <c r="F421" s="24"/>
      <c r="G421" s="24"/>
      <c r="H421" s="24"/>
      <c r="I421" s="24"/>
      <c r="J421" s="24"/>
      <c r="K421" s="26"/>
      <c r="L421" s="26"/>
      <c r="M421" s="26"/>
      <c r="N421" s="79"/>
      <c r="O421" s="22"/>
      <c r="P421" s="22"/>
      <c r="Q421" s="91"/>
      <c r="R421" s="88"/>
    </row>
    <row r="422" spans="1:18" x14ac:dyDescent="0.2">
      <c r="A422" s="23"/>
      <c r="B422" s="97"/>
      <c r="C422" s="97"/>
      <c r="D422" s="24"/>
      <c r="E422" s="24"/>
      <c r="F422" s="24"/>
      <c r="G422" s="24"/>
      <c r="H422" s="24"/>
      <c r="I422" s="24"/>
      <c r="J422" s="24"/>
      <c r="K422" s="26"/>
      <c r="L422" s="26"/>
      <c r="M422" s="26"/>
      <c r="N422" s="79"/>
      <c r="O422" s="22"/>
      <c r="P422" s="22"/>
      <c r="Q422" s="91"/>
      <c r="R422" s="88"/>
    </row>
    <row r="423" spans="1:18" x14ac:dyDescent="0.2">
      <c r="A423" s="23"/>
      <c r="B423" s="97"/>
      <c r="C423" s="97"/>
      <c r="D423" s="24"/>
      <c r="E423" s="24"/>
      <c r="F423" s="24"/>
      <c r="G423" s="24"/>
      <c r="H423" s="24"/>
      <c r="I423" s="24"/>
      <c r="J423" s="24"/>
      <c r="K423" s="26"/>
      <c r="L423" s="26"/>
      <c r="M423" s="26"/>
      <c r="N423" s="79"/>
      <c r="O423" s="22"/>
      <c r="P423" s="22"/>
      <c r="Q423" s="91"/>
      <c r="R423" s="88"/>
    </row>
    <row r="424" spans="1:18" x14ac:dyDescent="0.2">
      <c r="A424" s="23"/>
      <c r="B424" s="97"/>
      <c r="C424" s="97"/>
      <c r="D424" s="24"/>
      <c r="E424" s="24"/>
      <c r="F424" s="24"/>
      <c r="G424" s="24"/>
      <c r="H424" s="24"/>
      <c r="I424" s="24"/>
      <c r="J424" s="24"/>
      <c r="K424" s="26"/>
      <c r="L424" s="26"/>
      <c r="M424" s="26"/>
      <c r="N424" s="79"/>
      <c r="O424" s="22"/>
      <c r="P424" s="22"/>
      <c r="Q424" s="91"/>
      <c r="R424" s="88"/>
    </row>
    <row r="425" spans="1:18" x14ac:dyDescent="0.2">
      <c r="A425" s="23"/>
      <c r="B425" s="97"/>
      <c r="C425" s="97"/>
      <c r="D425" s="24"/>
      <c r="E425" s="24"/>
      <c r="F425" s="24"/>
      <c r="G425" s="24"/>
      <c r="H425" s="24"/>
      <c r="I425" s="24"/>
      <c r="J425" s="24"/>
      <c r="K425" s="26"/>
      <c r="L425" s="26"/>
      <c r="M425" s="26"/>
      <c r="N425" s="79"/>
      <c r="O425" s="22"/>
      <c r="P425" s="22"/>
      <c r="Q425" s="91"/>
      <c r="R425" s="88"/>
    </row>
    <row r="426" spans="1:18" x14ac:dyDescent="0.2">
      <c r="A426" s="23"/>
      <c r="B426" s="97"/>
      <c r="C426" s="97"/>
      <c r="D426" s="24"/>
      <c r="E426" s="24"/>
      <c r="F426" s="24"/>
      <c r="G426" s="24"/>
      <c r="H426" s="24"/>
      <c r="I426" s="24"/>
      <c r="J426" s="24"/>
      <c r="K426" s="26"/>
      <c r="L426" s="26"/>
      <c r="M426" s="26"/>
      <c r="N426" s="79"/>
      <c r="O426" s="22"/>
      <c r="P426" s="22"/>
      <c r="Q426" s="91"/>
      <c r="R426" s="88"/>
    </row>
    <row r="427" spans="1:18" x14ac:dyDescent="0.2">
      <c r="A427" s="23"/>
      <c r="B427" s="97"/>
      <c r="C427" s="97"/>
      <c r="D427" s="24"/>
      <c r="E427" s="24"/>
      <c r="F427" s="24"/>
      <c r="G427" s="24"/>
      <c r="H427" s="24"/>
      <c r="I427" s="24"/>
      <c r="J427" s="24"/>
      <c r="K427" s="26"/>
      <c r="L427" s="26"/>
      <c r="M427" s="26"/>
      <c r="N427" s="79"/>
      <c r="O427" s="22"/>
      <c r="P427" s="22"/>
      <c r="Q427" s="91"/>
      <c r="R427" s="88"/>
    </row>
    <row r="428" spans="1:18" x14ac:dyDescent="0.2">
      <c r="A428" s="23"/>
      <c r="B428" s="97"/>
      <c r="C428" s="97"/>
      <c r="D428" s="24"/>
      <c r="E428" s="24"/>
      <c r="F428" s="24"/>
      <c r="G428" s="24"/>
      <c r="H428" s="24"/>
      <c r="I428" s="24"/>
      <c r="J428" s="24"/>
      <c r="K428" s="26"/>
      <c r="L428" s="26"/>
      <c r="M428" s="26"/>
      <c r="N428" s="79"/>
      <c r="O428" s="22"/>
      <c r="P428" s="22"/>
      <c r="Q428" s="91"/>
      <c r="R428" s="88"/>
    </row>
    <row r="429" spans="1:18" x14ac:dyDescent="0.2">
      <c r="A429" s="23"/>
      <c r="B429" s="97"/>
      <c r="C429" s="97"/>
      <c r="D429" s="24"/>
      <c r="E429" s="24"/>
      <c r="F429" s="24"/>
      <c r="G429" s="24"/>
      <c r="H429" s="24"/>
      <c r="I429" s="24"/>
      <c r="J429" s="24"/>
      <c r="K429" s="26"/>
      <c r="L429" s="26"/>
      <c r="M429" s="26"/>
      <c r="N429" s="79"/>
      <c r="O429" s="22"/>
      <c r="P429" s="22"/>
      <c r="Q429" s="91"/>
      <c r="R429" s="88"/>
    </row>
    <row r="430" spans="1:18" x14ac:dyDescent="0.2">
      <c r="A430" s="23"/>
      <c r="B430" s="97"/>
      <c r="C430" s="97"/>
      <c r="D430" s="24"/>
      <c r="E430" s="24"/>
      <c r="F430" s="24"/>
      <c r="G430" s="24"/>
      <c r="H430" s="24"/>
      <c r="I430" s="24"/>
      <c r="J430" s="24"/>
      <c r="K430" s="26"/>
      <c r="L430" s="26"/>
      <c r="M430" s="26"/>
      <c r="N430" s="79"/>
      <c r="O430" s="22"/>
      <c r="P430" s="22"/>
      <c r="Q430" s="91"/>
      <c r="R430" s="88"/>
    </row>
    <row r="431" spans="1:18" x14ac:dyDescent="0.2">
      <c r="A431" s="23"/>
      <c r="B431" s="97"/>
      <c r="C431" s="97"/>
      <c r="D431" s="24"/>
      <c r="E431" s="24"/>
      <c r="F431" s="24"/>
      <c r="G431" s="24"/>
      <c r="H431" s="24"/>
      <c r="I431" s="24"/>
      <c r="J431" s="24"/>
      <c r="K431" s="26"/>
      <c r="L431" s="26"/>
      <c r="M431" s="26"/>
      <c r="N431" s="79"/>
      <c r="O431" s="22"/>
      <c r="P431" s="22"/>
      <c r="Q431" s="91"/>
      <c r="R431" s="88"/>
    </row>
    <row r="432" spans="1:18" x14ac:dyDescent="0.2">
      <c r="A432" s="23"/>
      <c r="B432" s="97"/>
      <c r="C432" s="97"/>
      <c r="D432" s="24"/>
      <c r="E432" s="24"/>
      <c r="F432" s="24"/>
      <c r="G432" s="24"/>
      <c r="H432" s="24"/>
      <c r="I432" s="24"/>
      <c r="J432" s="24"/>
      <c r="K432" s="26"/>
      <c r="L432" s="26"/>
      <c r="M432" s="26"/>
      <c r="N432" s="79"/>
      <c r="O432" s="22"/>
      <c r="P432" s="22"/>
      <c r="Q432" s="91"/>
      <c r="R432" s="88"/>
    </row>
    <row r="433" spans="1:18" x14ac:dyDescent="0.2">
      <c r="A433" s="23"/>
      <c r="B433" s="97"/>
      <c r="C433" s="97"/>
      <c r="D433" s="24"/>
      <c r="E433" s="24"/>
      <c r="F433" s="24"/>
      <c r="G433" s="24"/>
      <c r="H433" s="24"/>
      <c r="I433" s="24"/>
      <c r="J433" s="24"/>
      <c r="K433" s="26"/>
      <c r="L433" s="26"/>
      <c r="M433" s="26"/>
      <c r="N433" s="79"/>
      <c r="O433" s="22"/>
      <c r="P433" s="22"/>
      <c r="Q433" s="91"/>
      <c r="R433" s="88"/>
    </row>
    <row r="434" spans="1:18" x14ac:dyDescent="0.2">
      <c r="A434" s="23"/>
      <c r="B434" s="97"/>
      <c r="C434" s="97"/>
      <c r="D434" s="24"/>
      <c r="E434" s="24"/>
      <c r="F434" s="24"/>
      <c r="G434" s="24"/>
      <c r="H434" s="24"/>
      <c r="I434" s="24"/>
      <c r="J434" s="24"/>
      <c r="K434" s="26"/>
      <c r="L434" s="26"/>
      <c r="M434" s="26"/>
      <c r="N434" s="79"/>
      <c r="O434" s="22"/>
      <c r="P434" s="22"/>
      <c r="Q434" s="91"/>
      <c r="R434" s="88"/>
    </row>
    <row r="435" spans="1:18" x14ac:dyDescent="0.2">
      <c r="A435" s="23"/>
      <c r="B435" s="97"/>
      <c r="C435" s="97"/>
      <c r="D435" s="24"/>
      <c r="E435" s="24"/>
      <c r="F435" s="24"/>
      <c r="G435" s="24"/>
      <c r="H435" s="24"/>
      <c r="I435" s="24"/>
      <c r="J435" s="24"/>
      <c r="K435" s="26"/>
      <c r="L435" s="26"/>
      <c r="M435" s="26"/>
      <c r="N435" s="79"/>
      <c r="O435" s="22"/>
      <c r="P435" s="22"/>
      <c r="Q435" s="91"/>
      <c r="R435" s="88"/>
    </row>
    <row r="436" spans="1:18" x14ac:dyDescent="0.2">
      <c r="A436" s="23"/>
      <c r="B436" s="97"/>
      <c r="C436" s="97"/>
      <c r="D436" s="24"/>
      <c r="E436" s="24"/>
      <c r="F436" s="24"/>
      <c r="G436" s="24"/>
      <c r="H436" s="24"/>
      <c r="I436" s="24"/>
      <c r="J436" s="24"/>
      <c r="K436" s="26"/>
      <c r="L436" s="26"/>
      <c r="M436" s="26"/>
      <c r="N436" s="79"/>
      <c r="O436" s="22"/>
      <c r="P436" s="22"/>
      <c r="Q436" s="91"/>
      <c r="R436" s="88"/>
    </row>
    <row r="437" spans="1:18" x14ac:dyDescent="0.2">
      <c r="A437" s="23"/>
      <c r="B437" s="97"/>
      <c r="C437" s="97"/>
      <c r="D437" s="24"/>
      <c r="E437" s="24"/>
      <c r="F437" s="24"/>
      <c r="G437" s="24"/>
      <c r="H437" s="24"/>
      <c r="I437" s="24"/>
      <c r="J437" s="24"/>
      <c r="K437" s="36"/>
      <c r="L437" s="26"/>
      <c r="M437" s="26"/>
      <c r="N437" s="79"/>
      <c r="O437" s="22"/>
      <c r="P437" s="22"/>
      <c r="Q437" s="91"/>
      <c r="R437" s="88"/>
    </row>
    <row r="438" spans="1:18" x14ac:dyDescent="0.2">
      <c r="A438" s="23"/>
      <c r="B438" s="97"/>
      <c r="C438" s="97"/>
      <c r="D438" s="24"/>
      <c r="E438" s="24"/>
      <c r="F438" s="24"/>
      <c r="G438" s="24"/>
      <c r="H438" s="24"/>
      <c r="I438" s="24"/>
      <c r="J438" s="24"/>
      <c r="K438" s="26"/>
      <c r="L438" s="26"/>
      <c r="M438" s="26"/>
      <c r="N438" s="79"/>
      <c r="O438" s="22"/>
      <c r="P438" s="22"/>
      <c r="Q438" s="91"/>
      <c r="R438" s="88"/>
    </row>
    <row r="439" spans="1:18" x14ac:dyDescent="0.2">
      <c r="A439" s="23"/>
      <c r="B439" s="97"/>
      <c r="C439" s="97"/>
      <c r="D439" s="24"/>
      <c r="E439" s="24"/>
      <c r="F439" s="24"/>
      <c r="G439" s="24"/>
      <c r="H439" s="24"/>
      <c r="I439" s="24"/>
      <c r="J439" s="24"/>
      <c r="K439" s="26"/>
      <c r="L439" s="26"/>
      <c r="M439" s="26"/>
      <c r="N439" s="79"/>
      <c r="O439" s="22"/>
      <c r="P439" s="22"/>
      <c r="Q439" s="91"/>
      <c r="R439" s="88"/>
    </row>
    <row r="440" spans="1:18" x14ac:dyDescent="0.2">
      <c r="A440" s="23"/>
      <c r="B440" s="97"/>
      <c r="C440" s="97"/>
      <c r="D440" s="24"/>
      <c r="E440" s="24"/>
      <c r="F440" s="24"/>
      <c r="G440" s="24"/>
      <c r="H440" s="24"/>
      <c r="I440" s="24"/>
      <c r="J440" s="24"/>
      <c r="K440" s="26"/>
      <c r="L440" s="26"/>
      <c r="M440" s="26"/>
      <c r="N440" s="80"/>
      <c r="O440" s="81"/>
      <c r="P440" s="81"/>
      <c r="Q440" s="92"/>
      <c r="R440" s="89"/>
    </row>
    <row r="441" spans="1:18" x14ac:dyDescent="0.2">
      <c r="A441" s="23"/>
      <c r="B441" s="97"/>
      <c r="C441" s="97"/>
      <c r="D441" s="24"/>
      <c r="E441" s="24"/>
      <c r="F441" s="24"/>
      <c r="G441" s="24"/>
      <c r="H441" s="24"/>
      <c r="I441" s="24"/>
      <c r="J441" s="24"/>
      <c r="K441" s="26"/>
      <c r="L441" s="26"/>
      <c r="M441" s="26"/>
      <c r="N441" s="79"/>
      <c r="O441" s="22"/>
      <c r="P441" s="22"/>
      <c r="Q441" s="91"/>
      <c r="R441" s="88"/>
    </row>
    <row r="442" spans="1:18" x14ac:dyDescent="0.2">
      <c r="A442" s="23"/>
      <c r="B442" s="97"/>
      <c r="C442" s="97"/>
      <c r="D442" s="24"/>
      <c r="E442" s="24"/>
      <c r="F442" s="24"/>
      <c r="G442" s="24"/>
      <c r="H442" s="24"/>
      <c r="I442" s="24"/>
      <c r="J442" s="24"/>
      <c r="K442" s="26"/>
      <c r="L442" s="26"/>
      <c r="M442" s="26"/>
      <c r="N442" s="80"/>
      <c r="O442" s="81"/>
      <c r="P442" s="81"/>
      <c r="Q442" s="92"/>
      <c r="R442" s="89"/>
    </row>
    <row r="443" spans="1:18" x14ac:dyDescent="0.2">
      <c r="A443" s="23"/>
      <c r="B443" s="97"/>
      <c r="C443" s="97"/>
      <c r="D443" s="24"/>
      <c r="E443" s="24"/>
      <c r="F443" s="24"/>
      <c r="G443" s="24"/>
      <c r="H443" s="24"/>
      <c r="I443" s="24"/>
      <c r="J443" s="24"/>
      <c r="K443" s="26"/>
      <c r="L443" s="26"/>
      <c r="M443" s="26"/>
      <c r="N443" s="79"/>
      <c r="O443" s="22"/>
      <c r="P443" s="22"/>
      <c r="Q443" s="91"/>
      <c r="R443" s="88"/>
    </row>
    <row r="444" spans="1:18" x14ac:dyDescent="0.2">
      <c r="A444" s="23"/>
      <c r="B444" s="97"/>
      <c r="C444" s="97"/>
      <c r="D444" s="24"/>
      <c r="E444" s="24"/>
      <c r="F444" s="24"/>
      <c r="G444" s="24"/>
      <c r="H444" s="24"/>
      <c r="I444" s="24"/>
      <c r="J444" s="24"/>
      <c r="K444" s="26"/>
      <c r="L444" s="26"/>
      <c r="M444" s="26"/>
      <c r="N444" s="79"/>
      <c r="O444" s="22"/>
      <c r="P444" s="22"/>
      <c r="Q444" s="91"/>
      <c r="R444" s="88"/>
    </row>
    <row r="445" spans="1:18" x14ac:dyDescent="0.2">
      <c r="A445" s="23"/>
      <c r="B445" s="97"/>
      <c r="C445" s="97"/>
      <c r="D445" s="24"/>
      <c r="E445" s="24"/>
      <c r="F445" s="24"/>
      <c r="G445" s="24"/>
      <c r="H445" s="24"/>
      <c r="I445" s="24"/>
      <c r="J445" s="24"/>
      <c r="K445" s="26"/>
      <c r="L445" s="26"/>
      <c r="M445" s="26"/>
      <c r="N445" s="79"/>
      <c r="O445" s="22"/>
      <c r="P445" s="22"/>
      <c r="Q445" s="91"/>
      <c r="R445" s="88"/>
    </row>
    <row r="446" spans="1:18" x14ac:dyDescent="0.2">
      <c r="A446" s="23"/>
      <c r="B446" s="97"/>
      <c r="C446" s="97"/>
      <c r="D446" s="24"/>
      <c r="E446" s="24"/>
      <c r="F446" s="24"/>
      <c r="G446" s="24"/>
      <c r="H446" s="24"/>
      <c r="I446" s="24"/>
      <c r="J446" s="24"/>
      <c r="K446" s="26"/>
      <c r="L446" s="26"/>
      <c r="M446" s="26"/>
      <c r="N446" s="79"/>
      <c r="O446" s="22"/>
      <c r="P446" s="22"/>
      <c r="Q446" s="91"/>
      <c r="R446" s="88"/>
    </row>
    <row r="447" spans="1:18" x14ac:dyDescent="0.2">
      <c r="A447" s="23"/>
      <c r="B447" s="97"/>
      <c r="C447" s="97"/>
      <c r="D447" s="24"/>
      <c r="E447" s="24"/>
      <c r="F447" s="24"/>
      <c r="G447" s="24"/>
      <c r="H447" s="24"/>
      <c r="I447" s="24"/>
      <c r="J447" s="24"/>
      <c r="K447" s="26"/>
      <c r="L447" s="26"/>
      <c r="M447" s="26"/>
      <c r="N447" s="79"/>
      <c r="O447" s="22"/>
      <c r="P447" s="22"/>
      <c r="Q447" s="91"/>
      <c r="R447" s="88"/>
    </row>
    <row r="448" spans="1:18" x14ac:dyDescent="0.2">
      <c r="A448" s="23"/>
      <c r="B448" s="97"/>
      <c r="C448" s="97"/>
      <c r="D448" s="24"/>
      <c r="E448" s="24"/>
      <c r="F448" s="24"/>
      <c r="G448" s="24"/>
      <c r="H448" s="24"/>
      <c r="I448" s="24"/>
      <c r="J448" s="24"/>
      <c r="K448" s="26"/>
      <c r="L448" s="26"/>
      <c r="M448" s="26"/>
      <c r="N448" s="79"/>
      <c r="O448" s="22"/>
      <c r="P448" s="22"/>
      <c r="Q448" s="91"/>
      <c r="R448" s="88"/>
    </row>
    <row r="449" spans="1:18" x14ac:dyDescent="0.2">
      <c r="A449" s="23"/>
      <c r="B449" s="97"/>
      <c r="C449" s="97"/>
      <c r="D449" s="24"/>
      <c r="E449" s="24"/>
      <c r="F449" s="24"/>
      <c r="G449" s="24"/>
      <c r="H449" s="24"/>
      <c r="I449" s="24"/>
      <c r="J449" s="24"/>
      <c r="K449" s="26"/>
      <c r="L449" s="26"/>
      <c r="M449" s="26"/>
      <c r="N449" s="79"/>
      <c r="O449" s="22"/>
      <c r="P449" s="22"/>
      <c r="Q449" s="91"/>
      <c r="R449" s="88"/>
    </row>
    <row r="450" spans="1:18" x14ac:dyDescent="0.2">
      <c r="A450" s="23"/>
      <c r="B450" s="97"/>
      <c r="C450" s="97"/>
      <c r="D450" s="24"/>
      <c r="E450" s="24"/>
      <c r="F450" s="24"/>
      <c r="G450" s="24"/>
      <c r="H450" s="24"/>
      <c r="I450" s="24"/>
      <c r="J450" s="24"/>
      <c r="K450" s="26"/>
      <c r="L450" s="26"/>
      <c r="M450" s="26"/>
      <c r="N450" s="79"/>
      <c r="O450" s="22"/>
      <c r="P450" s="22"/>
      <c r="Q450" s="91"/>
      <c r="R450" s="88"/>
    </row>
    <row r="451" spans="1:18" x14ac:dyDescent="0.2">
      <c r="A451" s="23"/>
      <c r="B451" s="97"/>
      <c r="C451" s="97"/>
      <c r="D451" s="24"/>
      <c r="E451" s="24"/>
      <c r="F451" s="24"/>
      <c r="G451" s="24"/>
      <c r="H451" s="24"/>
      <c r="I451" s="24"/>
      <c r="J451" s="24"/>
      <c r="K451" s="26"/>
      <c r="L451" s="26"/>
      <c r="M451" s="26"/>
      <c r="N451" s="79"/>
      <c r="O451" s="22"/>
      <c r="P451" s="22"/>
      <c r="Q451" s="91"/>
      <c r="R451" s="88"/>
    </row>
    <row r="452" spans="1:18" x14ac:dyDescent="0.2">
      <c r="A452" s="23"/>
      <c r="B452" s="97"/>
      <c r="C452" s="97"/>
      <c r="D452" s="24"/>
      <c r="E452" s="24"/>
      <c r="F452" s="24"/>
      <c r="G452" s="24"/>
      <c r="H452" s="24"/>
      <c r="I452" s="24"/>
      <c r="J452" s="24"/>
      <c r="K452" s="26"/>
      <c r="L452" s="26"/>
      <c r="M452" s="26"/>
      <c r="N452" s="79"/>
      <c r="O452" s="22"/>
      <c r="P452" s="22"/>
      <c r="Q452" s="91"/>
      <c r="R452" s="88"/>
    </row>
    <row r="453" spans="1:18" x14ac:dyDescent="0.2">
      <c r="A453" s="23"/>
      <c r="B453" s="97"/>
      <c r="C453" s="97"/>
      <c r="D453" s="24"/>
      <c r="E453" s="24"/>
      <c r="F453" s="24"/>
      <c r="G453" s="24"/>
      <c r="H453" s="24"/>
      <c r="I453" s="24"/>
      <c r="J453" s="24"/>
      <c r="K453" s="26"/>
      <c r="L453" s="26"/>
      <c r="M453" s="26"/>
      <c r="N453" s="79"/>
      <c r="O453" s="22"/>
      <c r="P453" s="22"/>
      <c r="Q453" s="91"/>
      <c r="R453" s="88"/>
    </row>
    <row r="454" spans="1:18" x14ac:dyDescent="0.2">
      <c r="A454" s="23"/>
      <c r="B454" s="97"/>
      <c r="C454" s="97"/>
      <c r="D454" s="24"/>
      <c r="E454" s="24"/>
      <c r="F454" s="24"/>
      <c r="G454" s="24"/>
      <c r="H454" s="24"/>
      <c r="I454" s="24"/>
      <c r="J454" s="24"/>
      <c r="K454" s="26"/>
      <c r="L454" s="26"/>
      <c r="M454" s="26"/>
      <c r="N454" s="79"/>
      <c r="O454" s="22"/>
      <c r="P454" s="22"/>
      <c r="Q454" s="91"/>
      <c r="R454" s="88"/>
    </row>
    <row r="455" spans="1:18" x14ac:dyDescent="0.2">
      <c r="A455" s="23"/>
      <c r="B455" s="97"/>
      <c r="C455" s="97"/>
      <c r="D455" s="24"/>
      <c r="E455" s="24"/>
      <c r="F455" s="24"/>
      <c r="G455" s="24"/>
      <c r="H455" s="24"/>
      <c r="I455" s="24"/>
      <c r="J455" s="24"/>
      <c r="K455" s="26"/>
      <c r="L455" s="26"/>
      <c r="M455" s="26"/>
      <c r="N455" s="79"/>
      <c r="O455" s="22"/>
      <c r="P455" s="22"/>
      <c r="Q455" s="91"/>
      <c r="R455" s="88"/>
    </row>
    <row r="456" spans="1:18" x14ac:dyDescent="0.2">
      <c r="A456" s="23"/>
      <c r="B456" s="97"/>
      <c r="C456" s="97"/>
      <c r="D456" s="24"/>
      <c r="E456" s="24"/>
      <c r="F456" s="24"/>
      <c r="G456" s="24"/>
      <c r="H456" s="24"/>
      <c r="I456" s="24"/>
      <c r="J456" s="24"/>
      <c r="K456" s="26"/>
      <c r="L456" s="26"/>
      <c r="M456" s="26"/>
      <c r="N456" s="79"/>
      <c r="O456" s="22"/>
      <c r="P456" s="22"/>
      <c r="Q456" s="91"/>
      <c r="R456" s="88"/>
    </row>
    <row r="457" spans="1:18" x14ac:dyDescent="0.2">
      <c r="A457" s="23"/>
      <c r="B457" s="97"/>
      <c r="C457" s="97"/>
      <c r="D457" s="24"/>
      <c r="E457" s="24"/>
      <c r="F457" s="24"/>
      <c r="G457" s="24"/>
      <c r="H457" s="24"/>
      <c r="I457" s="24"/>
      <c r="J457" s="24"/>
      <c r="K457" s="26"/>
      <c r="L457" s="26"/>
      <c r="M457" s="26"/>
      <c r="N457" s="79"/>
      <c r="O457" s="22"/>
      <c r="P457" s="22"/>
      <c r="Q457" s="91"/>
      <c r="R457" s="88"/>
    </row>
    <row r="458" spans="1:18" x14ac:dyDescent="0.2">
      <c r="A458" s="23"/>
      <c r="B458" s="97"/>
      <c r="C458" s="97"/>
      <c r="D458" s="24"/>
      <c r="E458" s="24"/>
      <c r="F458" s="24"/>
      <c r="G458" s="24"/>
      <c r="H458" s="24"/>
      <c r="I458" s="24"/>
      <c r="J458" s="24"/>
      <c r="K458" s="26"/>
      <c r="L458" s="26"/>
      <c r="M458" s="26"/>
      <c r="N458" s="79"/>
      <c r="O458" s="22"/>
      <c r="P458" s="22"/>
      <c r="Q458" s="91"/>
      <c r="R458" s="88"/>
    </row>
    <row r="459" spans="1:18" x14ac:dyDescent="0.2">
      <c r="A459" s="23"/>
      <c r="B459" s="97"/>
      <c r="C459" s="97"/>
      <c r="D459" s="24"/>
      <c r="E459" s="24"/>
      <c r="F459" s="24"/>
      <c r="G459" s="24"/>
      <c r="H459" s="24"/>
      <c r="I459" s="24"/>
      <c r="J459" s="24"/>
      <c r="K459" s="26"/>
      <c r="L459" s="26"/>
      <c r="M459" s="26"/>
      <c r="N459" s="79"/>
      <c r="O459" s="22"/>
      <c r="P459" s="22"/>
      <c r="Q459" s="91"/>
      <c r="R459" s="88"/>
    </row>
    <row r="460" spans="1:18" x14ac:dyDescent="0.2">
      <c r="A460" s="23"/>
      <c r="B460" s="97"/>
      <c r="C460" s="97"/>
      <c r="D460" s="24"/>
      <c r="E460" s="24"/>
      <c r="F460" s="24"/>
      <c r="G460" s="24"/>
      <c r="H460" s="24"/>
      <c r="I460" s="24"/>
      <c r="J460" s="24"/>
      <c r="K460" s="26"/>
      <c r="L460" s="26"/>
      <c r="M460" s="26"/>
      <c r="N460" s="79"/>
      <c r="O460" s="22"/>
      <c r="P460" s="22"/>
      <c r="Q460" s="91"/>
      <c r="R460" s="88"/>
    </row>
    <row r="461" spans="1:18" x14ac:dyDescent="0.2">
      <c r="A461" s="23"/>
      <c r="B461" s="97"/>
      <c r="C461" s="97"/>
      <c r="D461" s="24"/>
      <c r="E461" s="24"/>
      <c r="F461" s="24"/>
      <c r="G461" s="24"/>
      <c r="H461" s="24"/>
      <c r="I461" s="24"/>
      <c r="J461" s="24"/>
      <c r="K461" s="26"/>
      <c r="L461" s="26"/>
      <c r="M461" s="26"/>
      <c r="N461" s="79"/>
      <c r="O461" s="22"/>
      <c r="P461" s="22"/>
      <c r="Q461" s="91"/>
      <c r="R461" s="88"/>
    </row>
    <row r="462" spans="1:18" x14ac:dyDescent="0.2">
      <c r="A462" s="23"/>
      <c r="B462" s="97"/>
      <c r="C462" s="97"/>
      <c r="D462" s="24"/>
      <c r="E462" s="24"/>
      <c r="F462" s="24"/>
      <c r="G462" s="24"/>
      <c r="H462" s="24"/>
      <c r="I462" s="24"/>
      <c r="J462" s="24"/>
      <c r="K462" s="36"/>
      <c r="L462" s="36"/>
      <c r="M462" s="26"/>
      <c r="N462" s="79"/>
      <c r="O462" s="22"/>
      <c r="P462" s="22"/>
      <c r="Q462" s="91"/>
      <c r="R462" s="88"/>
    </row>
    <row r="463" spans="1:18" x14ac:dyDescent="0.2">
      <c r="A463" s="23"/>
      <c r="B463" s="97"/>
      <c r="C463" s="97"/>
      <c r="D463" s="24"/>
      <c r="E463" s="24"/>
      <c r="F463" s="24"/>
      <c r="G463" s="24"/>
      <c r="H463" s="24"/>
      <c r="I463" s="24"/>
      <c r="J463" s="24"/>
      <c r="K463" s="26"/>
      <c r="L463" s="26"/>
      <c r="M463" s="26"/>
      <c r="N463" s="79"/>
      <c r="O463" s="22"/>
      <c r="P463" s="22"/>
      <c r="Q463" s="91"/>
      <c r="R463" s="88"/>
    </row>
    <row r="464" spans="1:18" x14ac:dyDescent="0.2">
      <c r="A464" s="23"/>
      <c r="B464" s="97"/>
      <c r="C464" s="97"/>
      <c r="D464" s="24"/>
      <c r="E464" s="24"/>
      <c r="F464" s="24"/>
      <c r="G464" s="24"/>
      <c r="H464" s="24"/>
      <c r="I464" s="24"/>
      <c r="J464" s="24"/>
      <c r="K464" s="26"/>
      <c r="L464" s="26"/>
      <c r="M464" s="26"/>
      <c r="N464" s="79"/>
      <c r="O464" s="22"/>
      <c r="P464" s="22"/>
      <c r="Q464" s="91"/>
      <c r="R464" s="88"/>
    </row>
    <row r="465" spans="1:18" x14ac:dyDescent="0.2">
      <c r="A465" s="23"/>
      <c r="B465" s="97"/>
      <c r="C465" s="97"/>
      <c r="D465" s="24"/>
      <c r="E465" s="24"/>
      <c r="F465" s="24"/>
      <c r="G465" s="24"/>
      <c r="H465" s="24"/>
      <c r="I465" s="24"/>
      <c r="J465" s="24"/>
      <c r="K465" s="26"/>
      <c r="L465" s="26"/>
      <c r="M465" s="26"/>
      <c r="N465" s="79"/>
      <c r="O465" s="22"/>
      <c r="P465" s="22"/>
      <c r="Q465" s="91"/>
      <c r="R465" s="88"/>
    </row>
    <row r="466" spans="1:18" x14ac:dyDescent="0.2">
      <c r="A466" s="23"/>
      <c r="B466" s="97"/>
      <c r="C466" s="97"/>
      <c r="D466" s="24"/>
      <c r="E466" s="24"/>
      <c r="F466" s="24"/>
      <c r="G466" s="24"/>
      <c r="H466" s="24"/>
      <c r="I466" s="24"/>
      <c r="J466" s="24"/>
      <c r="K466" s="26"/>
      <c r="L466" s="26"/>
      <c r="M466" s="26"/>
      <c r="N466" s="79"/>
      <c r="O466" s="22"/>
      <c r="P466" s="22"/>
      <c r="Q466" s="91"/>
      <c r="R466" s="88"/>
    </row>
    <row r="467" spans="1:18" x14ac:dyDescent="0.2">
      <c r="A467" s="23"/>
      <c r="B467" s="97"/>
      <c r="C467" s="97"/>
      <c r="D467" s="24"/>
      <c r="E467" s="24"/>
      <c r="F467" s="24"/>
      <c r="G467" s="24"/>
      <c r="H467" s="24"/>
      <c r="I467" s="24"/>
      <c r="J467" s="24"/>
      <c r="K467" s="26"/>
      <c r="L467" s="26"/>
      <c r="M467" s="26"/>
      <c r="N467" s="79"/>
      <c r="O467" s="22"/>
      <c r="P467" s="22"/>
      <c r="Q467" s="91"/>
      <c r="R467" s="88"/>
    </row>
    <row r="468" spans="1:18" x14ac:dyDescent="0.2">
      <c r="A468" s="23"/>
      <c r="B468" s="97"/>
      <c r="C468" s="97"/>
      <c r="D468" s="24"/>
      <c r="E468" s="24"/>
      <c r="F468" s="24"/>
      <c r="G468" s="24"/>
      <c r="H468" s="24"/>
      <c r="I468" s="24"/>
      <c r="J468" s="24"/>
      <c r="K468" s="26"/>
      <c r="L468" s="26"/>
      <c r="M468" s="26"/>
      <c r="N468" s="79"/>
      <c r="O468" s="22"/>
      <c r="P468" s="22"/>
      <c r="Q468" s="91"/>
      <c r="R468" s="88"/>
    </row>
    <row r="469" spans="1:18" x14ac:dyDescent="0.2">
      <c r="A469" s="23"/>
      <c r="B469" s="97"/>
      <c r="C469" s="97"/>
      <c r="D469" s="24"/>
      <c r="E469" s="24"/>
      <c r="F469" s="24"/>
      <c r="G469" s="24"/>
      <c r="H469" s="24"/>
      <c r="I469" s="24"/>
      <c r="J469" s="24"/>
      <c r="K469" s="26"/>
      <c r="L469" s="26"/>
      <c r="M469" s="26"/>
      <c r="N469" s="79"/>
      <c r="O469" s="22"/>
      <c r="P469" s="22"/>
      <c r="Q469" s="91"/>
      <c r="R469" s="88"/>
    </row>
    <row r="470" spans="1:18" x14ac:dyDescent="0.2">
      <c r="A470" s="23"/>
      <c r="B470" s="97"/>
      <c r="C470" s="97"/>
      <c r="D470" s="24"/>
      <c r="E470" s="24"/>
      <c r="F470" s="24"/>
      <c r="G470" s="24"/>
      <c r="H470" s="24"/>
      <c r="I470" s="24"/>
      <c r="J470" s="24"/>
      <c r="K470" s="26"/>
      <c r="L470" s="26"/>
      <c r="M470" s="26"/>
      <c r="N470" s="79"/>
      <c r="O470" s="22"/>
      <c r="P470" s="22"/>
      <c r="Q470" s="91"/>
      <c r="R470" s="88"/>
    </row>
    <row r="471" spans="1:18" x14ac:dyDescent="0.2">
      <c r="A471" s="23"/>
      <c r="B471" s="97"/>
      <c r="C471" s="97"/>
      <c r="D471" s="24"/>
      <c r="E471" s="24"/>
      <c r="F471" s="24"/>
      <c r="G471" s="24"/>
      <c r="H471" s="24"/>
      <c r="I471" s="24"/>
      <c r="J471" s="24"/>
      <c r="K471" s="36"/>
      <c r="L471" s="26"/>
      <c r="M471" s="26"/>
      <c r="N471" s="80"/>
      <c r="O471" s="81"/>
      <c r="P471" s="81"/>
      <c r="Q471" s="92"/>
      <c r="R471" s="89"/>
    </row>
    <row r="472" spans="1:18" x14ac:dyDescent="0.2">
      <c r="A472" s="23"/>
      <c r="B472" s="97"/>
      <c r="C472" s="97"/>
      <c r="D472" s="24"/>
      <c r="E472" s="24"/>
      <c r="F472" s="24"/>
      <c r="G472" s="24"/>
      <c r="H472" s="24"/>
      <c r="I472" s="24"/>
      <c r="J472" s="24"/>
      <c r="K472" s="26"/>
      <c r="L472" s="26"/>
      <c r="M472" s="26"/>
      <c r="N472" s="79"/>
      <c r="O472" s="22"/>
      <c r="P472" s="22"/>
      <c r="Q472" s="91"/>
      <c r="R472" s="88"/>
    </row>
    <row r="473" spans="1:18" x14ac:dyDescent="0.2">
      <c r="A473" s="23"/>
      <c r="B473" s="97"/>
      <c r="C473" s="97"/>
      <c r="D473" s="24"/>
      <c r="E473" s="24"/>
      <c r="F473" s="24"/>
      <c r="G473" s="24"/>
      <c r="H473" s="24"/>
      <c r="I473" s="24"/>
      <c r="J473" s="24"/>
      <c r="K473" s="26"/>
      <c r="L473" s="26"/>
      <c r="M473" s="26"/>
      <c r="N473" s="79"/>
      <c r="O473" s="22"/>
      <c r="P473" s="22"/>
      <c r="Q473" s="91"/>
      <c r="R473" s="88"/>
    </row>
    <row r="474" spans="1:18" x14ac:dyDescent="0.2">
      <c r="A474" s="23"/>
      <c r="B474" s="97"/>
      <c r="C474" s="97"/>
      <c r="D474" s="24"/>
      <c r="E474" s="24"/>
      <c r="F474" s="24"/>
      <c r="G474" s="24"/>
      <c r="H474" s="24"/>
      <c r="I474" s="24"/>
      <c r="J474" s="24"/>
      <c r="K474" s="26"/>
      <c r="L474" s="26"/>
      <c r="M474" s="26"/>
      <c r="N474" s="79"/>
      <c r="O474" s="22"/>
      <c r="P474" s="22"/>
      <c r="Q474" s="91"/>
      <c r="R474" s="88"/>
    </row>
    <row r="475" spans="1:18" x14ac:dyDescent="0.2">
      <c r="A475" s="23"/>
      <c r="B475" s="97"/>
      <c r="C475" s="97"/>
      <c r="D475" s="24"/>
      <c r="E475" s="24"/>
      <c r="F475" s="24"/>
      <c r="G475" s="24"/>
      <c r="H475" s="24"/>
      <c r="I475" s="24"/>
      <c r="J475" s="24"/>
      <c r="K475" s="26"/>
      <c r="L475" s="26"/>
      <c r="M475" s="26"/>
      <c r="N475" s="79"/>
      <c r="O475" s="22"/>
      <c r="P475" s="22"/>
      <c r="Q475" s="91"/>
      <c r="R475" s="88"/>
    </row>
    <row r="476" spans="1:18" x14ac:dyDescent="0.2">
      <c r="A476" s="23"/>
      <c r="B476" s="97"/>
      <c r="C476" s="97"/>
      <c r="D476" s="24"/>
      <c r="E476" s="24"/>
      <c r="F476" s="24"/>
      <c r="G476" s="24"/>
      <c r="H476" s="24"/>
      <c r="I476" s="24"/>
      <c r="J476" s="24"/>
      <c r="K476" s="26"/>
      <c r="L476" s="26"/>
      <c r="M476" s="26"/>
      <c r="N476" s="79"/>
      <c r="O476" s="22"/>
      <c r="P476" s="22"/>
      <c r="Q476" s="91"/>
      <c r="R476" s="88"/>
    </row>
    <row r="477" spans="1:18" x14ac:dyDescent="0.2">
      <c r="A477" s="23"/>
      <c r="B477" s="97"/>
      <c r="C477" s="97"/>
      <c r="D477" s="24"/>
      <c r="E477" s="24"/>
      <c r="F477" s="24"/>
      <c r="G477" s="24"/>
      <c r="H477" s="24"/>
      <c r="I477" s="24"/>
      <c r="J477" s="24"/>
      <c r="K477" s="26"/>
      <c r="L477" s="26"/>
      <c r="M477" s="26"/>
      <c r="N477" s="79"/>
      <c r="O477" s="22"/>
      <c r="P477" s="22"/>
      <c r="Q477" s="91"/>
      <c r="R477" s="88"/>
    </row>
    <row r="478" spans="1:18" x14ac:dyDescent="0.2">
      <c r="A478" s="23"/>
      <c r="B478" s="97"/>
      <c r="C478" s="97"/>
      <c r="D478" s="24"/>
      <c r="E478" s="24"/>
      <c r="F478" s="24"/>
      <c r="G478" s="24"/>
      <c r="H478" s="24"/>
      <c r="I478" s="24"/>
      <c r="J478" s="24"/>
      <c r="K478" s="26"/>
      <c r="L478" s="26"/>
      <c r="M478" s="26"/>
      <c r="N478" s="79"/>
      <c r="O478" s="22"/>
      <c r="P478" s="22"/>
      <c r="Q478" s="91"/>
      <c r="R478" s="88"/>
    </row>
    <row r="479" spans="1:18" x14ac:dyDescent="0.2">
      <c r="A479" s="23"/>
      <c r="B479" s="97"/>
      <c r="C479" s="97"/>
      <c r="D479" s="24"/>
      <c r="E479" s="24"/>
      <c r="F479" s="24"/>
      <c r="G479" s="24"/>
      <c r="H479" s="24"/>
      <c r="I479" s="24"/>
      <c r="J479" s="24"/>
      <c r="K479" s="26"/>
      <c r="L479" s="26"/>
      <c r="M479" s="26"/>
      <c r="N479" s="79"/>
      <c r="O479" s="22"/>
      <c r="P479" s="22"/>
      <c r="Q479" s="91"/>
      <c r="R479" s="88"/>
    </row>
    <row r="480" spans="1:18" x14ac:dyDescent="0.2">
      <c r="A480" s="23"/>
      <c r="B480" s="97"/>
      <c r="C480" s="97"/>
      <c r="D480" s="24"/>
      <c r="E480" s="24"/>
      <c r="F480" s="24"/>
      <c r="G480" s="24"/>
      <c r="H480" s="24"/>
      <c r="I480" s="24"/>
      <c r="J480" s="24"/>
      <c r="K480" s="26"/>
      <c r="L480" s="26"/>
      <c r="M480" s="26"/>
      <c r="N480" s="79"/>
      <c r="O480" s="22"/>
      <c r="P480" s="22"/>
      <c r="Q480" s="91"/>
      <c r="R480" s="88"/>
    </row>
    <row r="481" spans="1:18" ht="38.25" customHeight="1" x14ac:dyDescent="0.2">
      <c r="A481" s="23"/>
      <c r="B481" s="97"/>
      <c r="C481" s="97"/>
      <c r="D481" s="24"/>
      <c r="E481" s="24"/>
      <c r="F481" s="24"/>
      <c r="G481" s="24"/>
      <c r="H481" s="24"/>
      <c r="I481" s="24"/>
      <c r="J481" s="24"/>
      <c r="K481" s="26"/>
      <c r="L481" s="26"/>
      <c r="M481" s="26"/>
      <c r="N481" s="79"/>
      <c r="O481" s="22"/>
      <c r="P481" s="22"/>
      <c r="Q481" s="91"/>
      <c r="R481" s="88"/>
    </row>
    <row r="482" spans="1:18" x14ac:dyDescent="0.2">
      <c r="A482" s="23"/>
      <c r="B482" s="97"/>
      <c r="C482" s="97"/>
      <c r="D482" s="24"/>
      <c r="E482" s="24"/>
      <c r="F482" s="24"/>
      <c r="G482" s="24"/>
      <c r="H482" s="24"/>
      <c r="I482" s="24"/>
      <c r="J482" s="24"/>
      <c r="K482" s="26"/>
      <c r="L482" s="26"/>
      <c r="M482" s="26"/>
      <c r="N482" s="79"/>
      <c r="O482" s="22"/>
      <c r="P482" s="22"/>
      <c r="Q482" s="91"/>
      <c r="R482" s="88"/>
    </row>
    <row r="483" spans="1:18" x14ac:dyDescent="0.2">
      <c r="A483" s="23"/>
      <c r="B483" s="97"/>
      <c r="C483" s="97"/>
      <c r="D483" s="24"/>
      <c r="E483" s="24"/>
      <c r="F483" s="24"/>
      <c r="G483" s="24"/>
      <c r="H483" s="24"/>
      <c r="I483" s="24"/>
      <c r="J483" s="24"/>
      <c r="K483" s="26"/>
      <c r="L483" s="26"/>
      <c r="M483" s="26"/>
      <c r="N483" s="79"/>
      <c r="O483" s="22"/>
      <c r="P483" s="22"/>
      <c r="Q483" s="91"/>
      <c r="R483" s="88"/>
    </row>
    <row r="484" spans="1:18" x14ac:dyDescent="0.2">
      <c r="A484" s="23"/>
      <c r="B484" s="97"/>
      <c r="C484" s="97"/>
      <c r="D484" s="24"/>
      <c r="E484" s="24"/>
      <c r="F484" s="24"/>
      <c r="G484" s="24"/>
      <c r="H484" s="24"/>
      <c r="I484" s="24"/>
      <c r="J484" s="24"/>
      <c r="K484" s="26"/>
      <c r="L484" s="26"/>
      <c r="M484" s="26"/>
      <c r="N484" s="79"/>
      <c r="O484" s="22"/>
      <c r="P484" s="22"/>
      <c r="Q484" s="91"/>
      <c r="R484" s="88"/>
    </row>
    <row r="485" spans="1:18" x14ac:dyDescent="0.2">
      <c r="A485" s="23"/>
      <c r="B485" s="97"/>
      <c r="C485" s="97"/>
      <c r="D485" s="24"/>
      <c r="E485" s="24"/>
      <c r="F485" s="24"/>
      <c r="G485" s="24"/>
      <c r="H485" s="24"/>
      <c r="I485" s="24"/>
      <c r="J485" s="24"/>
      <c r="K485" s="26"/>
      <c r="L485" s="26"/>
      <c r="M485" s="26"/>
      <c r="N485" s="79"/>
      <c r="O485" s="22"/>
      <c r="P485" s="22"/>
      <c r="Q485" s="91"/>
      <c r="R485" s="88"/>
    </row>
    <row r="486" spans="1:18" x14ac:dyDescent="0.2">
      <c r="A486" s="23"/>
      <c r="B486" s="97"/>
      <c r="C486" s="97"/>
      <c r="D486" s="24"/>
      <c r="E486" s="24"/>
      <c r="F486" s="24"/>
      <c r="G486" s="24"/>
      <c r="H486" s="24"/>
      <c r="I486" s="24"/>
      <c r="J486" s="24"/>
      <c r="K486" s="36"/>
      <c r="L486" s="26"/>
      <c r="M486" s="36"/>
      <c r="N486" s="80"/>
      <c r="O486" s="81"/>
      <c r="P486" s="81"/>
      <c r="Q486" s="92"/>
      <c r="R486" s="89"/>
    </row>
    <row r="487" spans="1:18" x14ac:dyDescent="0.2">
      <c r="A487" s="23"/>
      <c r="B487" s="97"/>
      <c r="C487" s="97"/>
      <c r="D487" s="24"/>
      <c r="E487" s="24"/>
      <c r="F487" s="24"/>
      <c r="G487" s="24"/>
      <c r="H487" s="24"/>
      <c r="I487" s="24"/>
      <c r="J487" s="24"/>
      <c r="K487" s="26"/>
      <c r="L487" s="26"/>
      <c r="M487" s="26"/>
      <c r="N487" s="79"/>
      <c r="O487" s="22"/>
      <c r="P487" s="22"/>
      <c r="Q487" s="91"/>
      <c r="R487" s="88"/>
    </row>
    <row r="488" spans="1:18" x14ac:dyDescent="0.2">
      <c r="A488" s="23"/>
      <c r="B488" s="97"/>
      <c r="C488" s="97"/>
      <c r="D488" s="24"/>
      <c r="E488" s="24"/>
      <c r="F488" s="24"/>
      <c r="G488" s="24"/>
      <c r="H488" s="24"/>
      <c r="I488" s="24"/>
      <c r="J488" s="24"/>
      <c r="K488" s="26"/>
      <c r="L488" s="26"/>
      <c r="M488" s="26"/>
      <c r="N488" s="79"/>
      <c r="O488" s="22"/>
      <c r="P488" s="22"/>
      <c r="Q488" s="91"/>
      <c r="R488" s="88"/>
    </row>
    <row r="489" spans="1:18" x14ac:dyDescent="0.2">
      <c r="A489" s="23"/>
      <c r="B489" s="97"/>
      <c r="C489" s="97"/>
      <c r="D489" s="24"/>
      <c r="E489" s="24"/>
      <c r="F489" s="24"/>
      <c r="G489" s="24"/>
      <c r="H489" s="24"/>
      <c r="I489" s="24"/>
      <c r="J489" s="24"/>
      <c r="K489" s="26"/>
      <c r="L489" s="26"/>
      <c r="M489" s="26"/>
      <c r="N489" s="79"/>
      <c r="O489" s="22"/>
      <c r="P489" s="22"/>
      <c r="Q489" s="91"/>
      <c r="R489" s="88"/>
    </row>
    <row r="490" spans="1:18" x14ac:dyDescent="0.2">
      <c r="A490" s="23"/>
      <c r="B490" s="97"/>
      <c r="C490" s="97"/>
      <c r="D490" s="24"/>
      <c r="E490" s="24"/>
      <c r="F490" s="24"/>
      <c r="G490" s="24"/>
      <c r="H490" s="24"/>
      <c r="I490" s="24"/>
      <c r="J490" s="24"/>
      <c r="K490" s="26"/>
      <c r="L490" s="26"/>
      <c r="M490" s="26"/>
      <c r="N490" s="79"/>
      <c r="O490" s="22"/>
      <c r="P490" s="22"/>
      <c r="Q490" s="91"/>
      <c r="R490" s="88"/>
    </row>
    <row r="491" spans="1:18" x14ac:dyDescent="0.2">
      <c r="A491" s="23"/>
      <c r="B491" s="97"/>
      <c r="C491" s="97"/>
      <c r="D491" s="24"/>
      <c r="E491" s="24"/>
      <c r="F491" s="24"/>
      <c r="G491" s="24"/>
      <c r="H491" s="24"/>
      <c r="I491" s="24"/>
      <c r="J491" s="24"/>
      <c r="K491" s="26"/>
      <c r="L491" s="26"/>
      <c r="M491" s="26"/>
      <c r="N491" s="79"/>
      <c r="O491" s="22"/>
      <c r="P491" s="22"/>
      <c r="Q491" s="91"/>
      <c r="R491" s="88"/>
    </row>
    <row r="492" spans="1:18" x14ac:dyDescent="0.2">
      <c r="A492" s="23"/>
      <c r="B492" s="97"/>
      <c r="C492" s="97"/>
      <c r="D492" s="24"/>
      <c r="E492" s="24"/>
      <c r="F492" s="24"/>
      <c r="G492" s="24"/>
      <c r="H492" s="24"/>
      <c r="I492" s="24"/>
      <c r="J492" s="24"/>
      <c r="K492" s="26"/>
      <c r="L492" s="26"/>
      <c r="M492" s="26"/>
      <c r="N492" s="79"/>
      <c r="O492" s="22"/>
      <c r="P492" s="22"/>
      <c r="Q492" s="91"/>
      <c r="R492" s="88"/>
    </row>
    <row r="493" spans="1:18" x14ac:dyDescent="0.2">
      <c r="A493" s="23"/>
      <c r="B493" s="97"/>
      <c r="C493" s="97"/>
      <c r="D493" s="24"/>
      <c r="E493" s="24"/>
      <c r="F493" s="24"/>
      <c r="G493" s="24"/>
      <c r="H493" s="24"/>
      <c r="I493" s="24"/>
      <c r="J493" s="24"/>
      <c r="K493" s="26"/>
      <c r="L493" s="26"/>
      <c r="M493" s="26"/>
      <c r="N493" s="79"/>
      <c r="O493" s="22"/>
      <c r="P493" s="22"/>
      <c r="Q493" s="91"/>
      <c r="R493" s="88"/>
    </row>
    <row r="494" spans="1:18" x14ac:dyDescent="0.2">
      <c r="A494" s="23"/>
      <c r="B494" s="97"/>
      <c r="C494" s="97"/>
      <c r="D494" s="24"/>
      <c r="E494" s="24"/>
      <c r="F494" s="24"/>
      <c r="G494" s="24"/>
      <c r="H494" s="24"/>
      <c r="I494" s="24"/>
      <c r="J494" s="24"/>
      <c r="K494" s="26"/>
      <c r="L494" s="26"/>
      <c r="M494" s="26"/>
      <c r="N494" s="79"/>
      <c r="O494" s="22"/>
      <c r="P494" s="22"/>
      <c r="Q494" s="91"/>
      <c r="R494" s="88"/>
    </row>
    <row r="495" spans="1:18" x14ac:dyDescent="0.2">
      <c r="A495" s="23"/>
      <c r="B495" s="97"/>
      <c r="C495" s="97"/>
      <c r="D495" s="24"/>
      <c r="E495" s="24"/>
      <c r="F495" s="24"/>
      <c r="G495" s="24"/>
      <c r="H495" s="24"/>
      <c r="I495" s="24"/>
      <c r="J495" s="24"/>
      <c r="K495" s="26"/>
      <c r="L495" s="26"/>
      <c r="M495" s="26"/>
      <c r="N495" s="79"/>
      <c r="O495" s="22"/>
      <c r="P495" s="22"/>
      <c r="Q495" s="91"/>
      <c r="R495" s="88"/>
    </row>
    <row r="496" spans="1:18" x14ac:dyDescent="0.2">
      <c r="A496" s="23"/>
      <c r="B496" s="97"/>
      <c r="C496" s="97"/>
      <c r="D496" s="24"/>
      <c r="E496" s="24"/>
      <c r="F496" s="24"/>
      <c r="G496" s="24"/>
      <c r="H496" s="24"/>
      <c r="I496" s="24"/>
      <c r="J496" s="24"/>
      <c r="K496" s="26"/>
      <c r="L496" s="26"/>
      <c r="M496" s="26"/>
      <c r="N496" s="79"/>
      <c r="O496" s="22"/>
      <c r="P496" s="22"/>
      <c r="Q496" s="91"/>
      <c r="R496" s="88"/>
    </row>
    <row r="497" spans="1:18" x14ac:dyDescent="0.2">
      <c r="A497" s="23"/>
      <c r="B497" s="97"/>
      <c r="C497" s="97"/>
      <c r="D497" s="24"/>
      <c r="E497" s="24"/>
      <c r="F497" s="24"/>
      <c r="G497" s="24"/>
      <c r="H497" s="24"/>
      <c r="I497" s="24"/>
      <c r="J497" s="24"/>
      <c r="K497" s="26"/>
      <c r="L497" s="26"/>
      <c r="M497" s="26"/>
      <c r="N497" s="79"/>
      <c r="O497" s="22"/>
      <c r="P497" s="22"/>
      <c r="Q497" s="91"/>
      <c r="R497" s="88"/>
    </row>
    <row r="498" spans="1:18" x14ac:dyDescent="0.2">
      <c r="A498" s="23"/>
      <c r="B498" s="97"/>
      <c r="C498" s="97"/>
      <c r="D498" s="24"/>
      <c r="E498" s="24"/>
      <c r="F498" s="24"/>
      <c r="G498" s="24"/>
      <c r="H498" s="24"/>
      <c r="I498" s="24"/>
      <c r="J498" s="24"/>
      <c r="K498" s="26"/>
      <c r="L498" s="26"/>
      <c r="M498" s="26"/>
      <c r="N498" s="79"/>
      <c r="O498" s="22"/>
      <c r="P498" s="22"/>
      <c r="Q498" s="91"/>
      <c r="R498" s="88"/>
    </row>
    <row r="499" spans="1:18" x14ac:dyDescent="0.2">
      <c r="A499" s="23"/>
      <c r="B499" s="97"/>
      <c r="C499" s="97"/>
      <c r="D499" s="24"/>
      <c r="E499" s="24"/>
      <c r="F499" s="24"/>
      <c r="G499" s="24"/>
      <c r="H499" s="24"/>
      <c r="I499" s="24"/>
      <c r="J499" s="24"/>
      <c r="K499" s="26"/>
      <c r="L499" s="26"/>
      <c r="M499" s="26"/>
      <c r="N499" s="79"/>
      <c r="O499" s="22"/>
      <c r="P499" s="22"/>
      <c r="Q499" s="91"/>
      <c r="R499" s="88"/>
    </row>
    <row r="500" spans="1:18" x14ac:dyDescent="0.2">
      <c r="A500" s="23"/>
      <c r="B500" s="97"/>
      <c r="C500" s="97"/>
      <c r="D500" s="24"/>
      <c r="E500" s="24"/>
      <c r="F500" s="24"/>
      <c r="G500" s="24"/>
      <c r="H500" s="24"/>
      <c r="I500" s="24"/>
      <c r="J500" s="24"/>
      <c r="K500" s="26"/>
      <c r="L500" s="26"/>
      <c r="M500" s="26"/>
      <c r="N500" s="79"/>
      <c r="O500" s="22"/>
      <c r="P500" s="22"/>
      <c r="Q500" s="91"/>
      <c r="R500" s="88"/>
    </row>
    <row r="501" spans="1:18" x14ac:dyDescent="0.2">
      <c r="A501" s="23"/>
      <c r="B501" s="97"/>
      <c r="C501" s="97"/>
      <c r="D501" s="24"/>
      <c r="E501" s="24"/>
      <c r="F501" s="24"/>
      <c r="G501" s="24"/>
      <c r="H501" s="24"/>
      <c r="I501" s="24"/>
      <c r="J501" s="24"/>
      <c r="K501" s="26"/>
      <c r="L501" s="26"/>
      <c r="M501" s="26"/>
      <c r="N501" s="79"/>
      <c r="O501" s="22"/>
      <c r="P501" s="22"/>
      <c r="Q501" s="91"/>
      <c r="R501" s="88"/>
    </row>
    <row r="502" spans="1:18" x14ac:dyDescent="0.2">
      <c r="A502" s="23"/>
      <c r="B502" s="97"/>
      <c r="C502" s="97"/>
      <c r="D502" s="24"/>
      <c r="E502" s="24"/>
      <c r="F502" s="24"/>
      <c r="G502" s="24"/>
      <c r="H502" s="24"/>
      <c r="I502" s="24"/>
      <c r="J502" s="24"/>
      <c r="K502" s="26"/>
      <c r="L502" s="26"/>
      <c r="M502" s="26"/>
      <c r="N502" s="79"/>
      <c r="O502" s="22"/>
      <c r="P502" s="22"/>
      <c r="Q502" s="91"/>
      <c r="R502" s="88"/>
    </row>
    <row r="503" spans="1:18" x14ac:dyDescent="0.2">
      <c r="A503" s="23"/>
      <c r="B503" s="97"/>
      <c r="C503" s="97"/>
      <c r="D503" s="24"/>
      <c r="E503" s="24"/>
      <c r="F503" s="24"/>
      <c r="G503" s="24"/>
      <c r="H503" s="24"/>
      <c r="I503" s="24"/>
      <c r="J503" s="24"/>
      <c r="K503" s="26"/>
      <c r="L503" s="26"/>
      <c r="M503" s="26"/>
      <c r="N503" s="79"/>
      <c r="O503" s="22"/>
      <c r="P503" s="22"/>
      <c r="Q503" s="91"/>
      <c r="R503" s="88"/>
    </row>
    <row r="504" spans="1:18" x14ac:dyDescent="0.2">
      <c r="A504" s="23"/>
      <c r="B504" s="97"/>
      <c r="C504" s="97"/>
      <c r="D504" s="24"/>
      <c r="E504" s="24"/>
      <c r="F504" s="24"/>
      <c r="G504" s="24"/>
      <c r="H504" s="24"/>
      <c r="I504" s="24"/>
      <c r="J504" s="24"/>
      <c r="K504" s="26"/>
      <c r="L504" s="26"/>
      <c r="M504" s="26"/>
      <c r="N504" s="79"/>
      <c r="O504" s="22"/>
      <c r="P504" s="22"/>
      <c r="Q504" s="91"/>
      <c r="R504" s="88"/>
    </row>
    <row r="505" spans="1:18" x14ac:dyDescent="0.2">
      <c r="A505" s="23"/>
      <c r="B505" s="97"/>
      <c r="C505" s="97"/>
      <c r="D505" s="24"/>
      <c r="E505" s="24"/>
      <c r="F505" s="24"/>
      <c r="G505" s="24"/>
      <c r="H505" s="24"/>
      <c r="I505" s="24"/>
      <c r="J505" s="24"/>
      <c r="K505" s="36"/>
      <c r="L505" s="26"/>
      <c r="M505" s="26"/>
      <c r="N505" s="79"/>
      <c r="O505" s="22"/>
      <c r="P505" s="22"/>
      <c r="Q505" s="91"/>
      <c r="R505" s="88"/>
    </row>
    <row r="506" spans="1:18" x14ac:dyDescent="0.2">
      <c r="A506" s="23"/>
      <c r="B506" s="97"/>
      <c r="C506" s="97"/>
      <c r="D506" s="24"/>
      <c r="E506" s="24"/>
      <c r="F506" s="24"/>
      <c r="G506" s="24"/>
      <c r="H506" s="24"/>
      <c r="I506" s="24"/>
      <c r="J506" s="24"/>
      <c r="K506" s="26"/>
      <c r="L506" s="26"/>
      <c r="M506" s="26"/>
      <c r="N506" s="79"/>
      <c r="O506" s="22"/>
      <c r="P506" s="22"/>
      <c r="Q506" s="91"/>
      <c r="R506" s="88"/>
    </row>
    <row r="507" spans="1:18" x14ac:dyDescent="0.2">
      <c r="A507" s="23"/>
      <c r="B507" s="97"/>
      <c r="C507" s="97"/>
      <c r="D507" s="24"/>
      <c r="E507" s="24"/>
      <c r="F507" s="24"/>
      <c r="G507" s="24"/>
      <c r="H507" s="24"/>
      <c r="I507" s="24"/>
      <c r="J507" s="24"/>
      <c r="K507" s="36"/>
      <c r="L507" s="26"/>
      <c r="M507" s="26"/>
      <c r="N507" s="79"/>
      <c r="O507" s="22"/>
      <c r="P507" s="22"/>
      <c r="Q507" s="91"/>
      <c r="R507" s="88"/>
    </row>
    <row r="508" spans="1:18" x14ac:dyDescent="0.2">
      <c r="A508" s="23"/>
      <c r="B508" s="97"/>
      <c r="C508" s="97"/>
      <c r="D508" s="24"/>
      <c r="E508" s="24"/>
      <c r="F508" s="24"/>
      <c r="G508" s="24"/>
      <c r="H508" s="24"/>
      <c r="I508" s="24"/>
      <c r="J508" s="24"/>
      <c r="K508" s="26"/>
      <c r="L508" s="26"/>
      <c r="M508" s="26"/>
      <c r="N508" s="79"/>
      <c r="O508" s="22"/>
      <c r="P508" s="22"/>
      <c r="Q508" s="91"/>
      <c r="R508" s="88"/>
    </row>
    <row r="509" spans="1:18" x14ac:dyDescent="0.2">
      <c r="A509" s="23"/>
      <c r="B509" s="97"/>
      <c r="C509" s="97"/>
      <c r="D509" s="24"/>
      <c r="E509" s="24"/>
      <c r="F509" s="24"/>
      <c r="G509" s="24"/>
      <c r="H509" s="24"/>
      <c r="I509" s="24"/>
      <c r="J509" s="24"/>
      <c r="K509" s="26"/>
      <c r="L509" s="26"/>
      <c r="M509" s="26"/>
      <c r="N509" s="79"/>
      <c r="O509" s="22"/>
      <c r="P509" s="22"/>
      <c r="Q509" s="91"/>
      <c r="R509" s="88"/>
    </row>
    <row r="510" spans="1:18" x14ac:dyDescent="0.2">
      <c r="A510" s="23"/>
      <c r="B510" s="97"/>
      <c r="C510" s="97"/>
      <c r="D510" s="24"/>
      <c r="E510" s="24"/>
      <c r="F510" s="24"/>
      <c r="G510" s="24"/>
      <c r="H510" s="24"/>
      <c r="I510" s="24"/>
      <c r="J510" s="24"/>
      <c r="K510" s="36"/>
      <c r="L510" s="26"/>
      <c r="M510" s="26"/>
      <c r="N510" s="79"/>
      <c r="O510" s="22"/>
      <c r="P510" s="22"/>
      <c r="Q510" s="91"/>
      <c r="R510" s="88"/>
    </row>
    <row r="511" spans="1:18" x14ac:dyDescent="0.2">
      <c r="A511" s="23"/>
      <c r="B511" s="97"/>
      <c r="C511" s="97"/>
      <c r="D511" s="24"/>
      <c r="E511" s="24"/>
      <c r="F511" s="24"/>
      <c r="G511" s="24"/>
      <c r="H511" s="24"/>
      <c r="I511" s="24"/>
      <c r="J511" s="24"/>
      <c r="K511" s="36"/>
      <c r="L511" s="26"/>
      <c r="M511" s="26"/>
      <c r="N511" s="79"/>
      <c r="O511" s="22"/>
      <c r="P511" s="22"/>
      <c r="Q511" s="91"/>
      <c r="R511" s="88"/>
    </row>
    <row r="512" spans="1:18" x14ac:dyDescent="0.2">
      <c r="A512" s="23"/>
      <c r="B512" s="97"/>
      <c r="C512" s="97"/>
      <c r="D512" s="24"/>
      <c r="E512" s="24"/>
      <c r="F512" s="24"/>
      <c r="G512" s="24"/>
      <c r="H512" s="24"/>
      <c r="I512" s="24"/>
      <c r="J512" s="24"/>
      <c r="K512" s="26"/>
      <c r="L512" s="26"/>
      <c r="M512" s="26"/>
      <c r="N512" s="79"/>
      <c r="O512" s="22"/>
      <c r="P512" s="22"/>
      <c r="Q512" s="91"/>
      <c r="R512" s="88"/>
    </row>
    <row r="513" spans="1:18" x14ac:dyDescent="0.2">
      <c r="A513" s="23"/>
      <c r="B513" s="97"/>
      <c r="C513" s="97"/>
      <c r="D513" s="24"/>
      <c r="E513" s="24"/>
      <c r="F513" s="24"/>
      <c r="G513" s="24"/>
      <c r="H513" s="24"/>
      <c r="I513" s="24"/>
      <c r="J513" s="24"/>
      <c r="K513" s="26"/>
      <c r="L513" s="26"/>
      <c r="M513" s="26"/>
      <c r="N513" s="79"/>
      <c r="O513" s="22"/>
      <c r="P513" s="22"/>
      <c r="Q513" s="91"/>
      <c r="R513" s="88"/>
    </row>
    <row r="514" spans="1:18" x14ac:dyDescent="0.2">
      <c r="A514" s="23"/>
      <c r="B514" s="97"/>
      <c r="C514" s="97"/>
      <c r="D514" s="24"/>
      <c r="E514" s="24"/>
      <c r="F514" s="24"/>
      <c r="G514" s="24"/>
      <c r="H514" s="24"/>
      <c r="I514" s="24"/>
      <c r="J514" s="24"/>
      <c r="K514" s="26"/>
      <c r="L514" s="26"/>
      <c r="M514" s="26"/>
      <c r="N514" s="79"/>
      <c r="O514" s="22"/>
      <c r="P514" s="22"/>
      <c r="Q514" s="91"/>
      <c r="R514" s="88"/>
    </row>
    <row r="515" spans="1:18" x14ac:dyDescent="0.2">
      <c r="A515" s="23"/>
      <c r="B515" s="97"/>
      <c r="C515" s="97"/>
      <c r="D515" s="24"/>
      <c r="E515" s="24"/>
      <c r="F515" s="24"/>
      <c r="G515" s="24"/>
      <c r="H515" s="24"/>
      <c r="I515" s="24"/>
      <c r="J515" s="24"/>
      <c r="K515" s="26"/>
      <c r="L515" s="26"/>
      <c r="M515" s="26"/>
      <c r="N515" s="79"/>
      <c r="O515" s="22"/>
      <c r="P515" s="22"/>
      <c r="Q515" s="91"/>
      <c r="R515" s="88"/>
    </row>
    <row r="516" spans="1:18" x14ac:dyDescent="0.2">
      <c r="A516" s="23"/>
      <c r="B516" s="97"/>
      <c r="C516" s="97"/>
      <c r="D516" s="24"/>
      <c r="E516" s="24"/>
      <c r="F516" s="24"/>
      <c r="G516" s="24"/>
      <c r="H516" s="24"/>
      <c r="I516" s="24"/>
      <c r="J516" s="24"/>
      <c r="K516" s="26"/>
      <c r="L516" s="26"/>
      <c r="M516" s="26"/>
      <c r="N516" s="79"/>
      <c r="O516" s="22"/>
      <c r="P516" s="22"/>
      <c r="Q516" s="91"/>
      <c r="R516" s="88"/>
    </row>
    <row r="517" spans="1:18" x14ac:dyDescent="0.2">
      <c r="A517" s="23"/>
      <c r="B517" s="97"/>
      <c r="C517" s="97"/>
      <c r="D517" s="24"/>
      <c r="E517" s="24"/>
      <c r="F517" s="24"/>
      <c r="G517" s="24"/>
      <c r="H517" s="24"/>
      <c r="I517" s="24"/>
      <c r="J517" s="24"/>
      <c r="K517" s="26"/>
      <c r="L517" s="26"/>
      <c r="M517" s="26"/>
      <c r="N517" s="79"/>
      <c r="O517" s="22"/>
      <c r="P517" s="22"/>
      <c r="Q517" s="91"/>
      <c r="R517" s="88"/>
    </row>
    <row r="518" spans="1:18" x14ac:dyDescent="0.2">
      <c r="A518" s="23"/>
      <c r="B518" s="97"/>
      <c r="C518" s="97"/>
      <c r="D518" s="24"/>
      <c r="E518" s="24"/>
      <c r="F518" s="24"/>
      <c r="G518" s="24"/>
      <c r="H518" s="24"/>
      <c r="I518" s="24"/>
      <c r="J518" s="24"/>
      <c r="K518" s="26"/>
      <c r="L518" s="26"/>
      <c r="M518" s="26"/>
      <c r="N518" s="79"/>
      <c r="O518" s="22"/>
      <c r="P518" s="22"/>
      <c r="Q518" s="91"/>
      <c r="R518" s="88"/>
    </row>
    <row r="519" spans="1:18" x14ac:dyDescent="0.2">
      <c r="A519" s="23"/>
      <c r="B519" s="97"/>
      <c r="C519" s="97"/>
      <c r="D519" s="24"/>
      <c r="E519" s="24"/>
      <c r="F519" s="24"/>
      <c r="G519" s="24"/>
      <c r="H519" s="24"/>
      <c r="I519" s="24"/>
      <c r="J519" s="24"/>
      <c r="K519" s="26"/>
      <c r="L519" s="26"/>
      <c r="M519" s="26"/>
      <c r="N519" s="79"/>
      <c r="O519" s="22"/>
      <c r="P519" s="22"/>
      <c r="Q519" s="91"/>
      <c r="R519" s="88"/>
    </row>
    <row r="520" spans="1:18" x14ac:dyDescent="0.2">
      <c r="A520" s="23"/>
      <c r="B520" s="97"/>
      <c r="C520" s="97"/>
      <c r="D520" s="24"/>
      <c r="E520" s="24"/>
      <c r="F520" s="24"/>
      <c r="G520" s="24"/>
      <c r="H520" s="24"/>
      <c r="I520" s="24"/>
      <c r="J520" s="24"/>
      <c r="K520" s="26"/>
      <c r="L520" s="26"/>
      <c r="M520" s="26"/>
      <c r="N520" s="79"/>
      <c r="O520" s="22"/>
      <c r="P520" s="22"/>
      <c r="Q520" s="91"/>
      <c r="R520" s="88"/>
    </row>
    <row r="521" spans="1:18" x14ac:dyDescent="0.2">
      <c r="A521" s="23"/>
      <c r="B521" s="97"/>
      <c r="C521" s="97"/>
      <c r="D521" s="24"/>
      <c r="E521" s="24"/>
      <c r="F521" s="24"/>
      <c r="G521" s="24"/>
      <c r="H521" s="24"/>
      <c r="I521" s="24"/>
      <c r="J521" s="24"/>
      <c r="K521" s="26"/>
      <c r="L521" s="26"/>
      <c r="M521" s="26"/>
      <c r="N521" s="79"/>
      <c r="O521" s="22"/>
      <c r="P521" s="22"/>
      <c r="Q521" s="91"/>
      <c r="R521" s="88"/>
    </row>
    <row r="522" spans="1:18" x14ac:dyDescent="0.2">
      <c r="A522" s="23"/>
      <c r="B522" s="97"/>
      <c r="C522" s="97"/>
      <c r="D522" s="24"/>
      <c r="E522" s="24"/>
      <c r="F522" s="24"/>
      <c r="G522" s="24"/>
      <c r="H522" s="24"/>
      <c r="I522" s="24"/>
      <c r="J522" s="24"/>
      <c r="K522" s="26"/>
      <c r="L522" s="26"/>
      <c r="M522" s="26"/>
      <c r="N522" s="79"/>
      <c r="O522" s="22"/>
      <c r="P522" s="22"/>
      <c r="Q522" s="91"/>
      <c r="R522" s="88"/>
    </row>
    <row r="523" spans="1:18" x14ac:dyDescent="0.2">
      <c r="A523" s="23"/>
      <c r="B523" s="97"/>
      <c r="C523" s="97"/>
      <c r="D523" s="24"/>
      <c r="E523" s="24"/>
      <c r="F523" s="24"/>
      <c r="G523" s="24"/>
      <c r="H523" s="24"/>
      <c r="I523" s="24"/>
      <c r="J523" s="24"/>
      <c r="K523" s="26"/>
      <c r="L523" s="26"/>
      <c r="M523" s="26"/>
      <c r="N523" s="79"/>
      <c r="O523" s="22"/>
      <c r="P523" s="22"/>
      <c r="Q523" s="91"/>
      <c r="R523" s="88"/>
    </row>
    <row r="524" spans="1:18" x14ac:dyDescent="0.2">
      <c r="A524" s="23"/>
      <c r="B524" s="97"/>
      <c r="C524" s="97"/>
      <c r="D524" s="24"/>
      <c r="E524" s="24"/>
      <c r="F524" s="24"/>
      <c r="G524" s="24"/>
      <c r="H524" s="24"/>
      <c r="I524" s="24"/>
      <c r="J524" s="24"/>
      <c r="K524" s="26"/>
      <c r="L524" s="26"/>
      <c r="M524" s="26"/>
      <c r="N524" s="79"/>
      <c r="O524" s="22"/>
      <c r="P524" s="22"/>
      <c r="Q524" s="91"/>
      <c r="R524" s="88"/>
    </row>
    <row r="525" spans="1:18" x14ac:dyDescent="0.2">
      <c r="A525" s="23"/>
      <c r="B525" s="97"/>
      <c r="C525" s="97"/>
      <c r="D525" s="24"/>
      <c r="E525" s="24"/>
      <c r="F525" s="24"/>
      <c r="G525" s="24"/>
      <c r="H525" s="24"/>
      <c r="I525" s="24"/>
      <c r="J525" s="24"/>
      <c r="K525" s="26"/>
      <c r="L525" s="26"/>
      <c r="M525" s="26"/>
      <c r="N525" s="79"/>
      <c r="O525" s="22"/>
      <c r="P525" s="22"/>
      <c r="Q525" s="91"/>
      <c r="R525" s="88"/>
    </row>
    <row r="526" spans="1:18" x14ac:dyDescent="0.2">
      <c r="A526" s="23"/>
      <c r="B526" s="97"/>
      <c r="C526" s="97"/>
      <c r="D526" s="24"/>
      <c r="E526" s="24"/>
      <c r="F526" s="24"/>
      <c r="G526" s="24"/>
      <c r="H526" s="24"/>
      <c r="I526" s="24"/>
      <c r="J526" s="24"/>
      <c r="K526" s="26"/>
      <c r="L526" s="26"/>
      <c r="M526" s="26"/>
      <c r="N526" s="79"/>
      <c r="O526" s="22"/>
      <c r="P526" s="22"/>
      <c r="Q526" s="91"/>
      <c r="R526" s="88"/>
    </row>
    <row r="527" spans="1:18" x14ac:dyDescent="0.2">
      <c r="A527" s="23"/>
      <c r="B527" s="97"/>
      <c r="C527" s="97"/>
      <c r="D527" s="24"/>
      <c r="E527" s="24"/>
      <c r="F527" s="24"/>
      <c r="G527" s="24"/>
      <c r="H527" s="24"/>
      <c r="I527" s="24"/>
      <c r="J527" s="24"/>
      <c r="K527" s="26"/>
      <c r="L527" s="26"/>
      <c r="M527" s="26"/>
      <c r="N527" s="79"/>
      <c r="O527" s="22"/>
      <c r="P527" s="22"/>
      <c r="Q527" s="91"/>
      <c r="R527" s="88"/>
    </row>
    <row r="528" spans="1:18" x14ac:dyDescent="0.2">
      <c r="A528" s="23"/>
      <c r="B528" s="97"/>
      <c r="C528" s="97"/>
      <c r="D528" s="24"/>
      <c r="E528" s="24"/>
      <c r="F528" s="24"/>
      <c r="G528" s="24"/>
      <c r="H528" s="24"/>
      <c r="I528" s="24"/>
      <c r="J528" s="24"/>
      <c r="K528" s="26"/>
      <c r="L528" s="26"/>
      <c r="M528" s="26"/>
      <c r="N528" s="79"/>
      <c r="O528" s="22"/>
      <c r="P528" s="22"/>
      <c r="Q528" s="91"/>
      <c r="R528" s="88"/>
    </row>
    <row r="529" spans="1:18" x14ac:dyDescent="0.2">
      <c r="A529" s="23"/>
      <c r="B529" s="97"/>
      <c r="C529" s="97"/>
      <c r="D529" s="24"/>
      <c r="E529" s="24"/>
      <c r="F529" s="24"/>
      <c r="G529" s="24"/>
      <c r="H529" s="24"/>
      <c r="I529" s="24"/>
      <c r="J529" s="24"/>
      <c r="K529" s="26"/>
      <c r="L529" s="26"/>
      <c r="M529" s="26"/>
      <c r="N529" s="79"/>
      <c r="O529" s="22"/>
      <c r="P529" s="22"/>
      <c r="Q529" s="91"/>
      <c r="R529" s="88"/>
    </row>
    <row r="530" spans="1:18" x14ac:dyDescent="0.2">
      <c r="A530" s="23"/>
      <c r="B530" s="97"/>
      <c r="C530" s="97"/>
      <c r="D530" s="24"/>
      <c r="E530" s="24"/>
      <c r="F530" s="24"/>
      <c r="G530" s="24"/>
      <c r="H530" s="24"/>
      <c r="I530" s="24"/>
      <c r="J530" s="24"/>
      <c r="K530" s="26"/>
      <c r="L530" s="26"/>
      <c r="M530" s="26"/>
      <c r="N530" s="79"/>
      <c r="O530" s="22"/>
      <c r="P530" s="22"/>
      <c r="Q530" s="91"/>
      <c r="R530" s="88"/>
    </row>
    <row r="531" spans="1:18" x14ac:dyDescent="0.2">
      <c r="A531" s="23"/>
      <c r="B531" s="97"/>
      <c r="C531" s="97"/>
      <c r="D531" s="24"/>
      <c r="E531" s="24"/>
      <c r="F531" s="24"/>
      <c r="G531" s="24"/>
      <c r="H531" s="24"/>
      <c r="I531" s="24"/>
      <c r="J531" s="24"/>
      <c r="K531" s="26"/>
      <c r="L531" s="26"/>
      <c r="M531" s="26"/>
      <c r="N531" s="79"/>
      <c r="O531" s="22"/>
      <c r="P531" s="22"/>
      <c r="Q531" s="91"/>
      <c r="R531" s="88"/>
    </row>
    <row r="532" spans="1:18" x14ac:dyDescent="0.2">
      <c r="A532" s="23"/>
      <c r="B532" s="97"/>
      <c r="C532" s="97"/>
      <c r="D532" s="24"/>
      <c r="E532" s="24"/>
      <c r="F532" s="24"/>
      <c r="G532" s="24"/>
      <c r="H532" s="24"/>
      <c r="I532" s="24"/>
      <c r="J532" s="24"/>
      <c r="K532" s="26"/>
      <c r="L532" s="26"/>
      <c r="M532" s="26"/>
      <c r="N532" s="79"/>
      <c r="O532" s="22"/>
      <c r="P532" s="22"/>
      <c r="Q532" s="91"/>
      <c r="R532" s="88"/>
    </row>
    <row r="533" spans="1:18" x14ac:dyDescent="0.2">
      <c r="A533" s="23"/>
      <c r="B533" s="97"/>
      <c r="C533" s="97"/>
      <c r="D533" s="24"/>
      <c r="E533" s="24"/>
      <c r="F533" s="24"/>
      <c r="G533" s="24"/>
      <c r="H533" s="24"/>
      <c r="I533" s="24"/>
      <c r="J533" s="24"/>
      <c r="K533" s="26"/>
      <c r="L533" s="26"/>
      <c r="M533" s="26"/>
      <c r="N533" s="79"/>
      <c r="O533" s="22"/>
      <c r="P533" s="22"/>
      <c r="Q533" s="91"/>
      <c r="R533" s="88"/>
    </row>
    <row r="534" spans="1:18" x14ac:dyDescent="0.2">
      <c r="A534" s="23"/>
      <c r="B534" s="97"/>
      <c r="C534" s="97"/>
      <c r="D534" s="24"/>
      <c r="E534" s="24"/>
      <c r="F534" s="24"/>
      <c r="G534" s="24"/>
      <c r="H534" s="24"/>
      <c r="I534" s="24"/>
      <c r="J534" s="24"/>
      <c r="K534" s="26"/>
      <c r="L534" s="26"/>
      <c r="M534" s="26"/>
      <c r="N534" s="79"/>
      <c r="O534" s="22"/>
      <c r="P534" s="22"/>
      <c r="Q534" s="91"/>
      <c r="R534" s="88"/>
    </row>
    <row r="535" spans="1:18" x14ac:dyDescent="0.2">
      <c r="A535" s="23"/>
      <c r="B535" s="97"/>
      <c r="C535" s="97"/>
      <c r="D535" s="24"/>
      <c r="E535" s="24"/>
      <c r="F535" s="24"/>
      <c r="G535" s="24"/>
      <c r="H535" s="24"/>
      <c r="I535" s="24"/>
      <c r="J535" s="24"/>
      <c r="K535" s="26"/>
      <c r="L535" s="26"/>
      <c r="M535" s="26"/>
      <c r="N535" s="79"/>
      <c r="O535" s="22"/>
      <c r="P535" s="22"/>
      <c r="Q535" s="91"/>
      <c r="R535" s="88"/>
    </row>
    <row r="536" spans="1:18" x14ac:dyDescent="0.2">
      <c r="A536" s="23"/>
      <c r="B536" s="97"/>
      <c r="C536" s="97"/>
      <c r="D536" s="24"/>
      <c r="E536" s="24"/>
      <c r="F536" s="24"/>
      <c r="G536" s="24"/>
      <c r="H536" s="24"/>
      <c r="I536" s="24"/>
      <c r="J536" s="24"/>
      <c r="K536" s="26"/>
      <c r="L536" s="26"/>
      <c r="M536" s="26"/>
      <c r="N536" s="79"/>
      <c r="O536" s="22"/>
      <c r="P536" s="22"/>
      <c r="Q536" s="91"/>
      <c r="R536" s="88"/>
    </row>
    <row r="537" spans="1:18" x14ac:dyDescent="0.2">
      <c r="A537" s="23"/>
      <c r="B537" s="97"/>
      <c r="C537" s="97"/>
      <c r="D537" s="24"/>
      <c r="E537" s="24"/>
      <c r="F537" s="24"/>
      <c r="G537" s="24"/>
      <c r="H537" s="24"/>
      <c r="I537" s="24"/>
      <c r="J537" s="24"/>
      <c r="K537" s="26"/>
      <c r="L537" s="26"/>
      <c r="M537" s="26"/>
      <c r="N537" s="79"/>
      <c r="O537" s="22"/>
      <c r="P537" s="22"/>
      <c r="Q537" s="91"/>
      <c r="R537" s="88"/>
    </row>
    <row r="538" spans="1:18" x14ac:dyDescent="0.2">
      <c r="A538" s="23"/>
      <c r="B538" s="97"/>
      <c r="C538" s="97"/>
      <c r="D538" s="24"/>
      <c r="E538" s="24"/>
      <c r="F538" s="24"/>
      <c r="G538" s="24"/>
      <c r="H538" s="24"/>
      <c r="I538" s="24"/>
      <c r="J538" s="24"/>
      <c r="K538" s="26"/>
      <c r="L538" s="26"/>
      <c r="M538" s="26"/>
      <c r="N538" s="79"/>
      <c r="O538" s="22"/>
      <c r="P538" s="22"/>
      <c r="Q538" s="91"/>
      <c r="R538" s="88"/>
    </row>
    <row r="539" spans="1:18" x14ac:dyDescent="0.2">
      <c r="A539" s="23"/>
      <c r="B539" s="97"/>
      <c r="C539" s="97"/>
      <c r="D539" s="24"/>
      <c r="E539" s="24"/>
      <c r="F539" s="24"/>
      <c r="G539" s="24"/>
      <c r="H539" s="24"/>
      <c r="I539" s="24"/>
      <c r="J539" s="24"/>
      <c r="K539" s="26"/>
      <c r="L539" s="26"/>
      <c r="M539" s="26"/>
      <c r="N539" s="79"/>
      <c r="O539" s="22"/>
      <c r="P539" s="22"/>
      <c r="Q539" s="91"/>
      <c r="R539" s="88"/>
    </row>
    <row r="540" spans="1:18" x14ac:dyDescent="0.2">
      <c r="A540" s="23"/>
      <c r="B540" s="97"/>
      <c r="C540" s="97"/>
      <c r="D540" s="24"/>
      <c r="E540" s="24"/>
      <c r="F540" s="24"/>
      <c r="G540" s="24"/>
      <c r="H540" s="24"/>
      <c r="I540" s="24"/>
      <c r="J540" s="24"/>
      <c r="K540" s="26"/>
      <c r="L540" s="26"/>
      <c r="M540" s="26"/>
      <c r="N540" s="79"/>
      <c r="O540" s="22"/>
      <c r="P540" s="22"/>
      <c r="Q540" s="91"/>
      <c r="R540" s="88"/>
    </row>
    <row r="541" spans="1:18" x14ac:dyDescent="0.2">
      <c r="A541" s="23"/>
      <c r="B541" s="97"/>
      <c r="C541" s="97"/>
      <c r="D541" s="24"/>
      <c r="E541" s="24"/>
      <c r="F541" s="24"/>
      <c r="G541" s="24"/>
      <c r="H541" s="24"/>
      <c r="I541" s="24"/>
      <c r="J541" s="24"/>
      <c r="K541" s="26"/>
      <c r="L541" s="26"/>
      <c r="M541" s="26"/>
      <c r="N541" s="79"/>
      <c r="O541" s="22"/>
      <c r="P541" s="22"/>
      <c r="Q541" s="91"/>
      <c r="R541" s="88"/>
    </row>
    <row r="542" spans="1:18" x14ac:dyDescent="0.2">
      <c r="A542" s="23"/>
      <c r="B542" s="97"/>
      <c r="C542" s="97"/>
      <c r="D542" s="24"/>
      <c r="E542" s="24"/>
      <c r="F542" s="24"/>
      <c r="G542" s="24"/>
      <c r="H542" s="24"/>
      <c r="I542" s="24"/>
      <c r="J542" s="24"/>
      <c r="K542" s="26"/>
      <c r="L542" s="26"/>
      <c r="M542" s="26"/>
      <c r="N542" s="79"/>
      <c r="O542" s="22"/>
      <c r="P542" s="22"/>
      <c r="Q542" s="91"/>
      <c r="R542" s="88"/>
    </row>
    <row r="543" spans="1:18" x14ac:dyDescent="0.2">
      <c r="A543" s="23"/>
      <c r="B543" s="97"/>
      <c r="C543" s="97"/>
      <c r="D543" s="24"/>
      <c r="E543" s="24"/>
      <c r="F543" s="24"/>
      <c r="G543" s="24"/>
      <c r="H543" s="24"/>
      <c r="I543" s="24"/>
      <c r="J543" s="24"/>
      <c r="K543" s="26"/>
      <c r="L543" s="26"/>
      <c r="M543" s="26"/>
      <c r="N543" s="79"/>
      <c r="O543" s="22"/>
      <c r="P543" s="22"/>
      <c r="Q543" s="91"/>
      <c r="R543" s="88"/>
    </row>
    <row r="544" spans="1:18" x14ac:dyDescent="0.2">
      <c r="A544" s="23"/>
      <c r="B544" s="97"/>
      <c r="C544" s="97"/>
      <c r="D544" s="24"/>
      <c r="E544" s="24"/>
      <c r="F544" s="24"/>
      <c r="G544" s="24"/>
      <c r="H544" s="24"/>
      <c r="I544" s="24"/>
      <c r="J544" s="24"/>
      <c r="K544" s="26"/>
      <c r="L544" s="26"/>
      <c r="M544" s="26"/>
      <c r="N544" s="79"/>
      <c r="O544" s="22"/>
      <c r="P544" s="22"/>
      <c r="Q544" s="91"/>
      <c r="R544" s="88"/>
    </row>
    <row r="545" spans="1:18" x14ac:dyDescent="0.2">
      <c r="A545" s="23"/>
      <c r="B545" s="97"/>
      <c r="C545" s="97"/>
      <c r="D545" s="24"/>
      <c r="E545" s="24"/>
      <c r="F545" s="24"/>
      <c r="G545" s="24"/>
      <c r="H545" s="24"/>
      <c r="I545" s="24"/>
      <c r="J545" s="24"/>
      <c r="K545" s="26"/>
      <c r="L545" s="26"/>
      <c r="M545" s="26"/>
      <c r="N545" s="79"/>
      <c r="O545" s="22"/>
      <c r="P545" s="22"/>
      <c r="Q545" s="91"/>
      <c r="R545" s="88"/>
    </row>
    <row r="546" spans="1:18" x14ac:dyDescent="0.2">
      <c r="A546" s="23"/>
      <c r="B546" s="97"/>
      <c r="C546" s="97"/>
      <c r="D546" s="24"/>
      <c r="E546" s="24"/>
      <c r="F546" s="24"/>
      <c r="G546" s="24"/>
      <c r="H546" s="24"/>
      <c r="I546" s="24"/>
      <c r="J546" s="24"/>
      <c r="K546" s="26"/>
      <c r="L546" s="26"/>
      <c r="M546" s="26"/>
      <c r="N546" s="79"/>
      <c r="O546" s="22"/>
      <c r="P546" s="22"/>
      <c r="Q546" s="91"/>
      <c r="R546" s="88"/>
    </row>
    <row r="547" spans="1:18" x14ac:dyDescent="0.2">
      <c r="A547" s="23"/>
      <c r="B547" s="97"/>
      <c r="C547" s="97"/>
      <c r="D547" s="24"/>
      <c r="E547" s="24"/>
      <c r="F547" s="24"/>
      <c r="G547" s="24"/>
      <c r="H547" s="24"/>
      <c r="I547" s="24"/>
      <c r="J547" s="24"/>
      <c r="K547" s="26"/>
      <c r="L547" s="26"/>
      <c r="M547" s="26"/>
      <c r="N547" s="79"/>
      <c r="O547" s="22"/>
      <c r="P547" s="22"/>
      <c r="Q547" s="91"/>
      <c r="R547" s="88"/>
    </row>
    <row r="548" spans="1:18" x14ac:dyDescent="0.2">
      <c r="A548" s="23"/>
      <c r="B548" s="97"/>
      <c r="C548" s="97"/>
      <c r="D548" s="24"/>
      <c r="E548" s="24"/>
      <c r="F548" s="24"/>
      <c r="G548" s="24"/>
      <c r="H548" s="24"/>
      <c r="I548" s="24"/>
      <c r="J548" s="24"/>
      <c r="K548" s="26"/>
      <c r="L548" s="26"/>
      <c r="M548" s="26"/>
      <c r="N548" s="79"/>
      <c r="O548" s="22"/>
      <c r="P548" s="22"/>
      <c r="Q548" s="91"/>
      <c r="R548" s="88"/>
    </row>
    <row r="549" spans="1:18" x14ac:dyDescent="0.2">
      <c r="A549" s="23"/>
      <c r="B549" s="97"/>
      <c r="C549" s="97"/>
      <c r="D549" s="24"/>
      <c r="E549" s="24"/>
      <c r="F549" s="24"/>
      <c r="G549" s="24"/>
      <c r="H549" s="24"/>
      <c r="I549" s="24"/>
      <c r="J549" s="24"/>
      <c r="K549" s="26"/>
      <c r="L549" s="26"/>
      <c r="M549" s="26"/>
      <c r="N549" s="79"/>
      <c r="O549" s="22"/>
      <c r="P549" s="22"/>
      <c r="Q549" s="91"/>
      <c r="R549" s="88"/>
    </row>
    <row r="550" spans="1:18" x14ac:dyDescent="0.2">
      <c r="A550" s="23"/>
      <c r="B550" s="97"/>
      <c r="C550" s="97"/>
      <c r="D550" s="24"/>
      <c r="E550" s="24"/>
      <c r="F550" s="24"/>
      <c r="G550" s="24"/>
      <c r="H550" s="24"/>
      <c r="I550" s="24"/>
      <c r="J550" s="24"/>
      <c r="K550" s="26"/>
      <c r="L550" s="26"/>
      <c r="M550" s="26"/>
      <c r="N550" s="79"/>
      <c r="O550" s="22"/>
      <c r="P550" s="22"/>
      <c r="Q550" s="91"/>
      <c r="R550" s="88"/>
    </row>
    <row r="551" spans="1:18" x14ac:dyDescent="0.2">
      <c r="A551" s="23"/>
      <c r="B551" s="97"/>
      <c r="C551" s="97"/>
      <c r="D551" s="24"/>
      <c r="E551" s="24"/>
      <c r="F551" s="24"/>
      <c r="G551" s="24"/>
      <c r="H551" s="24"/>
      <c r="I551" s="24"/>
      <c r="J551" s="24"/>
      <c r="K551" s="26"/>
      <c r="L551" s="26"/>
      <c r="M551" s="26"/>
      <c r="N551" s="79"/>
      <c r="O551" s="22"/>
      <c r="P551" s="22"/>
      <c r="Q551" s="91"/>
      <c r="R551" s="88"/>
    </row>
    <row r="552" spans="1:18" x14ac:dyDescent="0.2">
      <c r="A552" s="23"/>
      <c r="B552" s="97"/>
      <c r="C552" s="97"/>
      <c r="D552" s="24"/>
      <c r="E552" s="24"/>
      <c r="F552" s="24"/>
      <c r="G552" s="24"/>
      <c r="H552" s="24"/>
      <c r="I552" s="24"/>
      <c r="J552" s="24"/>
      <c r="K552" s="26"/>
      <c r="L552" s="26"/>
      <c r="M552" s="26"/>
      <c r="N552" s="79"/>
      <c r="O552" s="22"/>
      <c r="P552" s="22"/>
      <c r="Q552" s="91"/>
      <c r="R552" s="88"/>
    </row>
    <row r="553" spans="1:18" x14ac:dyDescent="0.2">
      <c r="A553" s="23"/>
      <c r="B553" s="97"/>
      <c r="C553" s="97"/>
      <c r="D553" s="24"/>
      <c r="E553" s="24"/>
      <c r="F553" s="24"/>
      <c r="G553" s="24"/>
      <c r="H553" s="24"/>
      <c r="I553" s="24"/>
      <c r="J553" s="24"/>
      <c r="K553" s="26"/>
      <c r="L553" s="26"/>
      <c r="M553" s="26"/>
      <c r="N553" s="79"/>
      <c r="O553" s="22"/>
      <c r="P553" s="22"/>
      <c r="Q553" s="91"/>
      <c r="R553" s="88"/>
    </row>
    <row r="554" spans="1:18" x14ac:dyDescent="0.2">
      <c r="A554" s="23"/>
      <c r="B554" s="97"/>
      <c r="C554" s="97"/>
      <c r="D554" s="24"/>
      <c r="E554" s="24"/>
      <c r="F554" s="24"/>
      <c r="G554" s="24"/>
      <c r="H554" s="24"/>
      <c r="I554" s="24"/>
      <c r="J554" s="24"/>
      <c r="K554" s="36"/>
      <c r="L554" s="26"/>
      <c r="M554" s="36"/>
      <c r="N554" s="80"/>
      <c r="O554" s="81"/>
      <c r="P554" s="81"/>
      <c r="Q554" s="92"/>
      <c r="R554" s="89"/>
    </row>
    <row r="555" spans="1:18" x14ac:dyDescent="0.2">
      <c r="A555" s="23"/>
      <c r="B555" s="97"/>
      <c r="C555" s="97"/>
      <c r="D555" s="24"/>
      <c r="E555" s="24"/>
      <c r="F555" s="24"/>
      <c r="G555" s="24"/>
      <c r="H555" s="24"/>
      <c r="I555" s="24"/>
      <c r="J555" s="24"/>
      <c r="K555" s="26"/>
      <c r="L555" s="26"/>
      <c r="M555" s="26"/>
      <c r="N555" s="79"/>
      <c r="O555" s="22"/>
      <c r="P555" s="22"/>
      <c r="Q555" s="91"/>
      <c r="R555" s="88"/>
    </row>
    <row r="556" spans="1:18" x14ac:dyDescent="0.2">
      <c r="A556" s="23"/>
      <c r="B556" s="97"/>
      <c r="C556" s="97"/>
      <c r="D556" s="24"/>
      <c r="E556" s="24"/>
      <c r="F556" s="24"/>
      <c r="G556" s="24"/>
      <c r="H556" s="24"/>
      <c r="I556" s="24"/>
      <c r="J556" s="24"/>
      <c r="K556" s="26"/>
      <c r="L556" s="26"/>
      <c r="M556" s="26"/>
      <c r="N556" s="79"/>
      <c r="O556" s="22"/>
      <c r="P556" s="22"/>
      <c r="Q556" s="91"/>
      <c r="R556" s="88"/>
    </row>
    <row r="557" spans="1:18" x14ac:dyDescent="0.2">
      <c r="A557" s="23"/>
      <c r="B557" s="97"/>
      <c r="C557" s="97"/>
      <c r="D557" s="24"/>
      <c r="E557" s="24"/>
      <c r="F557" s="24"/>
      <c r="G557" s="24"/>
      <c r="H557" s="24"/>
      <c r="I557" s="24"/>
      <c r="J557" s="24"/>
      <c r="K557" s="26"/>
      <c r="L557" s="26"/>
      <c r="M557" s="26"/>
      <c r="N557" s="79"/>
      <c r="O557" s="22"/>
      <c r="P557" s="22"/>
      <c r="Q557" s="91"/>
      <c r="R557" s="88"/>
    </row>
    <row r="558" spans="1:18" x14ac:dyDescent="0.2">
      <c r="A558" s="23"/>
      <c r="B558" s="97"/>
      <c r="C558" s="97"/>
      <c r="D558" s="24"/>
      <c r="E558" s="24"/>
      <c r="F558" s="24"/>
      <c r="G558" s="24"/>
      <c r="H558" s="24"/>
      <c r="I558" s="24"/>
      <c r="J558" s="24"/>
      <c r="K558" s="26"/>
      <c r="L558" s="26"/>
      <c r="M558" s="26"/>
      <c r="N558" s="79"/>
      <c r="O558" s="22"/>
      <c r="P558" s="22"/>
      <c r="Q558" s="91"/>
      <c r="R558" s="88"/>
    </row>
    <row r="559" spans="1:18" x14ac:dyDescent="0.2">
      <c r="A559" s="23"/>
      <c r="B559" s="97"/>
      <c r="C559" s="97"/>
      <c r="D559" s="24"/>
      <c r="E559" s="24"/>
      <c r="F559" s="24"/>
      <c r="G559" s="24"/>
      <c r="H559" s="24"/>
      <c r="I559" s="24"/>
      <c r="J559" s="24"/>
      <c r="K559" s="26"/>
      <c r="L559" s="26"/>
      <c r="M559" s="26"/>
      <c r="N559" s="79"/>
      <c r="O559" s="22"/>
      <c r="P559" s="22"/>
      <c r="Q559" s="91"/>
      <c r="R559" s="88"/>
    </row>
    <row r="560" spans="1:18" x14ac:dyDescent="0.2">
      <c r="A560" s="23"/>
      <c r="B560" s="97"/>
      <c r="C560" s="97"/>
      <c r="D560" s="24"/>
      <c r="E560" s="24"/>
      <c r="F560" s="24"/>
      <c r="G560" s="24"/>
      <c r="H560" s="24"/>
      <c r="I560" s="24"/>
      <c r="J560" s="24"/>
      <c r="K560" s="26"/>
      <c r="L560" s="26"/>
      <c r="M560" s="26"/>
      <c r="N560" s="79"/>
      <c r="O560" s="22"/>
      <c r="P560" s="22"/>
      <c r="Q560" s="91"/>
      <c r="R560" s="88"/>
    </row>
    <row r="561" spans="1:18" x14ac:dyDescent="0.2">
      <c r="A561" s="23"/>
      <c r="B561" s="97"/>
      <c r="C561" s="97"/>
      <c r="D561" s="24"/>
      <c r="E561" s="24"/>
      <c r="F561" s="24"/>
      <c r="G561" s="24"/>
      <c r="H561" s="24"/>
      <c r="I561" s="24"/>
      <c r="J561" s="24"/>
      <c r="K561" s="26"/>
      <c r="L561" s="26"/>
      <c r="M561" s="26"/>
      <c r="N561" s="79"/>
      <c r="O561" s="22"/>
      <c r="P561" s="22"/>
      <c r="Q561" s="91"/>
      <c r="R561" s="88"/>
    </row>
    <row r="562" spans="1:18" x14ac:dyDescent="0.2">
      <c r="A562" s="23"/>
      <c r="B562" s="97"/>
      <c r="C562" s="97"/>
      <c r="D562" s="24"/>
      <c r="E562" s="24"/>
      <c r="F562" s="24"/>
      <c r="G562" s="24"/>
      <c r="H562" s="24"/>
      <c r="I562" s="24"/>
      <c r="J562" s="24"/>
      <c r="K562" s="26"/>
      <c r="L562" s="26"/>
      <c r="M562" s="26"/>
      <c r="N562" s="79"/>
      <c r="O562" s="22"/>
      <c r="P562" s="22"/>
      <c r="Q562" s="91"/>
      <c r="R562" s="88"/>
    </row>
    <row r="563" spans="1:18" x14ac:dyDescent="0.2">
      <c r="A563" s="23"/>
      <c r="B563" s="97"/>
      <c r="C563" s="97"/>
      <c r="D563" s="24"/>
      <c r="E563" s="24"/>
      <c r="F563" s="24"/>
      <c r="G563" s="24"/>
      <c r="H563" s="24"/>
      <c r="I563" s="24"/>
      <c r="J563" s="24"/>
      <c r="K563" s="26"/>
      <c r="L563" s="26"/>
      <c r="M563" s="26"/>
      <c r="N563" s="79"/>
      <c r="O563" s="22"/>
      <c r="P563" s="22"/>
      <c r="Q563" s="91"/>
      <c r="R563" s="88"/>
    </row>
    <row r="564" spans="1:18" x14ac:dyDescent="0.2">
      <c r="A564" s="23"/>
      <c r="B564" s="97"/>
      <c r="C564" s="97"/>
      <c r="D564" s="24"/>
      <c r="E564" s="24"/>
      <c r="F564" s="24"/>
      <c r="G564" s="24"/>
      <c r="H564" s="24"/>
      <c r="I564" s="24"/>
      <c r="J564" s="24"/>
      <c r="K564" s="26"/>
      <c r="L564" s="26"/>
      <c r="M564" s="26"/>
      <c r="N564" s="79"/>
      <c r="O564" s="22"/>
      <c r="P564" s="22"/>
      <c r="Q564" s="91"/>
      <c r="R564" s="88"/>
    </row>
    <row r="565" spans="1:18" x14ac:dyDescent="0.2">
      <c r="A565" s="23"/>
      <c r="B565" s="97"/>
      <c r="C565" s="97"/>
      <c r="D565" s="24"/>
      <c r="E565" s="24"/>
      <c r="F565" s="24"/>
      <c r="G565" s="24"/>
      <c r="H565" s="24"/>
      <c r="I565" s="24"/>
      <c r="J565" s="24"/>
      <c r="K565" s="26"/>
      <c r="L565" s="26"/>
      <c r="M565" s="26"/>
      <c r="N565" s="79"/>
      <c r="O565" s="22"/>
      <c r="P565" s="22"/>
      <c r="Q565" s="91"/>
      <c r="R565" s="88"/>
    </row>
    <row r="566" spans="1:18" x14ac:dyDescent="0.2">
      <c r="A566" s="23"/>
      <c r="B566" s="97"/>
      <c r="C566" s="97"/>
      <c r="D566" s="24"/>
      <c r="E566" s="24"/>
      <c r="F566" s="24"/>
      <c r="G566" s="24"/>
      <c r="H566" s="24"/>
      <c r="I566" s="24"/>
      <c r="J566" s="24"/>
      <c r="K566" s="26"/>
      <c r="L566" s="26"/>
      <c r="M566" s="26"/>
      <c r="N566" s="79"/>
      <c r="O566" s="22"/>
      <c r="P566" s="22"/>
      <c r="Q566" s="91"/>
      <c r="R566" s="88"/>
    </row>
    <row r="567" spans="1:18" x14ac:dyDescent="0.2">
      <c r="A567" s="23"/>
      <c r="B567" s="97"/>
      <c r="C567" s="97"/>
      <c r="D567" s="24"/>
      <c r="E567" s="24"/>
      <c r="F567" s="24"/>
      <c r="G567" s="24"/>
      <c r="H567" s="24"/>
      <c r="I567" s="24"/>
      <c r="J567" s="24"/>
      <c r="K567" s="26"/>
      <c r="L567" s="26"/>
      <c r="M567" s="26"/>
      <c r="N567" s="79"/>
      <c r="O567" s="22"/>
      <c r="P567" s="22"/>
      <c r="Q567" s="91"/>
      <c r="R567" s="88"/>
    </row>
    <row r="568" spans="1:18" x14ac:dyDescent="0.2">
      <c r="A568" s="23"/>
      <c r="B568" s="97"/>
      <c r="C568" s="97"/>
      <c r="D568" s="24"/>
      <c r="E568" s="24"/>
      <c r="F568" s="24"/>
      <c r="G568" s="24"/>
      <c r="H568" s="24"/>
      <c r="I568" s="24"/>
      <c r="J568" s="24"/>
      <c r="K568" s="26"/>
      <c r="L568" s="26"/>
      <c r="M568" s="26"/>
      <c r="N568" s="79"/>
      <c r="O568" s="22"/>
      <c r="P568" s="22"/>
      <c r="Q568" s="91"/>
      <c r="R568" s="88"/>
    </row>
    <row r="569" spans="1:18" x14ac:dyDescent="0.2">
      <c r="A569" s="23"/>
      <c r="B569" s="97"/>
      <c r="C569" s="97"/>
      <c r="D569" s="24"/>
      <c r="E569" s="24"/>
      <c r="F569" s="24"/>
      <c r="G569" s="24"/>
      <c r="H569" s="24"/>
      <c r="I569" s="24"/>
      <c r="J569" s="24"/>
      <c r="K569" s="26"/>
      <c r="L569" s="26"/>
      <c r="M569" s="26"/>
      <c r="N569" s="79"/>
      <c r="O569" s="22"/>
      <c r="P569" s="22"/>
      <c r="Q569" s="91"/>
      <c r="R569" s="88"/>
    </row>
    <row r="570" spans="1:18" x14ac:dyDescent="0.2">
      <c r="A570" s="23"/>
      <c r="B570" s="97"/>
      <c r="C570" s="97"/>
      <c r="D570" s="24"/>
      <c r="E570" s="24"/>
      <c r="F570" s="24"/>
      <c r="G570" s="24"/>
      <c r="H570" s="24"/>
      <c r="I570" s="24"/>
      <c r="J570" s="24"/>
      <c r="K570" s="26"/>
      <c r="L570" s="26"/>
      <c r="M570" s="26"/>
      <c r="N570" s="79"/>
      <c r="O570" s="22"/>
      <c r="P570" s="22"/>
      <c r="Q570" s="91"/>
      <c r="R570" s="88"/>
    </row>
    <row r="571" spans="1:18" x14ac:dyDescent="0.2">
      <c r="A571" s="23"/>
      <c r="B571" s="97"/>
      <c r="C571" s="97"/>
      <c r="D571" s="24"/>
      <c r="E571" s="24"/>
      <c r="F571" s="24"/>
      <c r="G571" s="24"/>
      <c r="H571" s="24"/>
      <c r="I571" s="24"/>
      <c r="J571" s="24"/>
      <c r="K571" s="26"/>
      <c r="L571" s="26"/>
      <c r="M571" s="26"/>
      <c r="N571" s="79"/>
      <c r="O571" s="22"/>
      <c r="P571" s="22"/>
      <c r="Q571" s="91"/>
      <c r="R571" s="88"/>
    </row>
    <row r="572" spans="1:18" x14ac:dyDescent="0.2">
      <c r="A572" s="23"/>
      <c r="B572" s="97"/>
      <c r="C572" s="97"/>
      <c r="D572" s="24"/>
      <c r="E572" s="24"/>
      <c r="F572" s="24"/>
      <c r="G572" s="24"/>
      <c r="H572" s="24"/>
      <c r="I572" s="24"/>
      <c r="J572" s="24"/>
      <c r="K572" s="26"/>
      <c r="L572" s="26"/>
      <c r="M572" s="26"/>
      <c r="N572" s="79"/>
      <c r="O572" s="22"/>
      <c r="P572" s="22"/>
      <c r="Q572" s="91"/>
      <c r="R572" s="88"/>
    </row>
    <row r="573" spans="1:18" x14ac:dyDescent="0.2">
      <c r="A573" s="23"/>
      <c r="B573" s="97"/>
      <c r="C573" s="97"/>
      <c r="D573" s="24"/>
      <c r="E573" s="24"/>
      <c r="F573" s="24"/>
      <c r="G573" s="24"/>
      <c r="H573" s="24"/>
      <c r="I573" s="24"/>
      <c r="J573" s="24"/>
      <c r="K573" s="26"/>
      <c r="L573" s="26"/>
      <c r="M573" s="26"/>
      <c r="N573" s="79"/>
      <c r="O573" s="22"/>
      <c r="P573" s="22"/>
      <c r="Q573" s="91"/>
      <c r="R573" s="88"/>
    </row>
    <row r="574" spans="1:18" x14ac:dyDescent="0.2">
      <c r="A574" s="23"/>
      <c r="B574" s="97"/>
      <c r="C574" s="97"/>
      <c r="D574" s="24"/>
      <c r="E574" s="24"/>
      <c r="F574" s="24"/>
      <c r="G574" s="24"/>
      <c r="H574" s="24"/>
      <c r="I574" s="24"/>
      <c r="J574" s="24"/>
      <c r="K574" s="26"/>
      <c r="L574" s="26"/>
      <c r="M574" s="26"/>
      <c r="N574" s="79"/>
      <c r="O574" s="22"/>
      <c r="P574" s="22"/>
      <c r="Q574" s="91"/>
      <c r="R574" s="88"/>
    </row>
    <row r="575" spans="1:18" x14ac:dyDescent="0.2">
      <c r="A575" s="23"/>
      <c r="B575" s="97"/>
      <c r="C575" s="97"/>
      <c r="D575" s="24"/>
      <c r="E575" s="24"/>
      <c r="F575" s="24"/>
      <c r="G575" s="24"/>
      <c r="H575" s="24"/>
      <c r="I575" s="24"/>
      <c r="J575" s="24"/>
      <c r="K575" s="26"/>
      <c r="L575" s="26"/>
      <c r="M575" s="26"/>
      <c r="N575" s="79"/>
      <c r="O575" s="22"/>
      <c r="P575" s="22"/>
      <c r="Q575" s="91"/>
      <c r="R575" s="88"/>
    </row>
    <row r="576" spans="1:18" x14ac:dyDescent="0.2">
      <c r="A576" s="23"/>
      <c r="B576" s="97"/>
      <c r="C576" s="97"/>
      <c r="D576" s="24"/>
      <c r="E576" s="24"/>
      <c r="F576" s="24"/>
      <c r="G576" s="24"/>
      <c r="H576" s="24"/>
      <c r="I576" s="24"/>
      <c r="J576" s="24"/>
      <c r="K576" s="26"/>
      <c r="L576" s="26"/>
      <c r="M576" s="26"/>
      <c r="N576" s="79"/>
      <c r="O576" s="22"/>
      <c r="P576" s="22"/>
      <c r="Q576" s="91"/>
      <c r="R576" s="88"/>
    </row>
    <row r="577" spans="1:18" x14ac:dyDescent="0.2">
      <c r="A577" s="23"/>
      <c r="B577" s="97"/>
      <c r="C577" s="97"/>
      <c r="D577" s="24"/>
      <c r="E577" s="24"/>
      <c r="F577" s="24"/>
      <c r="G577" s="24"/>
      <c r="H577" s="24"/>
      <c r="I577" s="24"/>
      <c r="J577" s="24"/>
      <c r="K577" s="26"/>
      <c r="L577" s="26"/>
      <c r="M577" s="26"/>
      <c r="N577" s="79"/>
      <c r="O577" s="22"/>
      <c r="P577" s="22"/>
      <c r="Q577" s="91"/>
      <c r="R577" s="88"/>
    </row>
    <row r="578" spans="1:18" x14ac:dyDescent="0.2">
      <c r="A578" s="23"/>
      <c r="B578" s="97"/>
      <c r="C578" s="97"/>
      <c r="D578" s="24"/>
      <c r="E578" s="24"/>
      <c r="F578" s="24"/>
      <c r="G578" s="24"/>
      <c r="H578" s="24"/>
      <c r="I578" s="24"/>
      <c r="J578" s="24"/>
      <c r="K578" s="26"/>
      <c r="L578" s="26"/>
      <c r="M578" s="26"/>
      <c r="N578" s="79"/>
      <c r="O578" s="22"/>
      <c r="P578" s="22"/>
      <c r="Q578" s="91"/>
      <c r="R578" s="88"/>
    </row>
    <row r="579" spans="1:18" x14ac:dyDescent="0.2">
      <c r="A579" s="23"/>
      <c r="B579" s="97"/>
      <c r="C579" s="97"/>
      <c r="D579" s="24"/>
      <c r="E579" s="24"/>
      <c r="F579" s="24"/>
      <c r="G579" s="24"/>
      <c r="H579" s="24"/>
      <c r="I579" s="24"/>
      <c r="J579" s="24"/>
      <c r="K579" s="26"/>
      <c r="L579" s="26"/>
      <c r="M579" s="26"/>
      <c r="N579" s="79"/>
      <c r="O579" s="22"/>
      <c r="P579" s="22"/>
      <c r="Q579" s="91"/>
      <c r="R579" s="88"/>
    </row>
    <row r="580" spans="1:18" x14ac:dyDescent="0.2">
      <c r="A580" s="23"/>
      <c r="B580" s="97"/>
      <c r="C580" s="97"/>
      <c r="D580" s="24"/>
      <c r="E580" s="24"/>
      <c r="F580" s="24"/>
      <c r="G580" s="24"/>
      <c r="H580" s="24"/>
      <c r="I580" s="24"/>
      <c r="J580" s="24"/>
      <c r="K580" s="26"/>
      <c r="L580" s="26"/>
      <c r="M580" s="26"/>
      <c r="N580" s="79"/>
      <c r="O580" s="22"/>
      <c r="P580" s="22"/>
      <c r="Q580" s="91"/>
      <c r="R580" s="88"/>
    </row>
    <row r="581" spans="1:18" x14ac:dyDescent="0.2">
      <c r="A581" s="23"/>
      <c r="B581" s="97"/>
      <c r="C581" s="97"/>
      <c r="D581" s="24"/>
      <c r="E581" s="24"/>
      <c r="F581" s="24"/>
      <c r="G581" s="24"/>
      <c r="H581" s="24"/>
      <c r="I581" s="24"/>
      <c r="J581" s="24"/>
      <c r="K581" s="26"/>
      <c r="L581" s="26"/>
      <c r="M581" s="26"/>
      <c r="N581" s="79"/>
      <c r="O581" s="22"/>
      <c r="P581" s="22"/>
      <c r="Q581" s="91"/>
      <c r="R581" s="88"/>
    </row>
    <row r="582" spans="1:18" x14ac:dyDescent="0.2">
      <c r="A582" s="23"/>
      <c r="B582" s="97"/>
      <c r="C582" s="97"/>
      <c r="D582" s="24"/>
      <c r="E582" s="24"/>
      <c r="F582" s="24"/>
      <c r="G582" s="24"/>
      <c r="H582" s="24"/>
      <c r="I582" s="24"/>
      <c r="J582" s="24"/>
      <c r="K582" s="26"/>
      <c r="L582" s="26"/>
      <c r="M582" s="26"/>
      <c r="N582" s="79"/>
      <c r="O582" s="22"/>
      <c r="P582" s="22"/>
      <c r="Q582" s="91"/>
      <c r="R582" s="88"/>
    </row>
    <row r="583" spans="1:18" x14ac:dyDescent="0.2">
      <c r="A583" s="23"/>
      <c r="B583" s="97"/>
      <c r="C583" s="97"/>
      <c r="D583" s="24"/>
      <c r="E583" s="24"/>
      <c r="F583" s="24"/>
      <c r="G583" s="24"/>
      <c r="H583" s="24"/>
      <c r="I583" s="24"/>
      <c r="J583" s="24"/>
      <c r="K583" s="26"/>
      <c r="L583" s="26"/>
      <c r="M583" s="26"/>
      <c r="N583" s="79"/>
      <c r="O583" s="22"/>
      <c r="P583" s="22"/>
      <c r="Q583" s="91"/>
      <c r="R583" s="88"/>
    </row>
    <row r="584" spans="1:18" x14ac:dyDescent="0.2">
      <c r="A584" s="23"/>
      <c r="B584" s="97"/>
      <c r="C584" s="97"/>
      <c r="D584" s="24"/>
      <c r="E584" s="24"/>
      <c r="F584" s="24"/>
      <c r="G584" s="24"/>
      <c r="H584" s="24"/>
      <c r="I584" s="24"/>
      <c r="J584" s="24"/>
      <c r="K584" s="26"/>
      <c r="L584" s="26"/>
      <c r="M584" s="26"/>
      <c r="N584" s="79"/>
      <c r="O584" s="22"/>
      <c r="P584" s="22"/>
      <c r="Q584" s="91"/>
      <c r="R584" s="88"/>
    </row>
    <row r="585" spans="1:18" x14ac:dyDescent="0.2">
      <c r="A585" s="23"/>
      <c r="B585" s="97"/>
      <c r="C585" s="97"/>
      <c r="D585" s="24"/>
      <c r="E585" s="24"/>
      <c r="F585" s="24"/>
      <c r="G585" s="24"/>
      <c r="H585" s="24"/>
      <c r="I585" s="24"/>
      <c r="J585" s="24"/>
      <c r="K585" s="26"/>
      <c r="L585" s="26"/>
      <c r="M585" s="26"/>
      <c r="N585" s="79"/>
      <c r="O585" s="22"/>
      <c r="P585" s="22"/>
      <c r="Q585" s="91"/>
      <c r="R585" s="88"/>
    </row>
    <row r="586" spans="1:18" x14ac:dyDescent="0.2">
      <c r="A586" s="23"/>
      <c r="B586" s="97"/>
      <c r="C586" s="97"/>
      <c r="D586" s="24"/>
      <c r="E586" s="24"/>
      <c r="F586" s="24"/>
      <c r="G586" s="24"/>
      <c r="H586" s="24"/>
      <c r="I586" s="24"/>
      <c r="J586" s="24"/>
      <c r="K586" s="26"/>
      <c r="L586" s="26"/>
      <c r="M586" s="26"/>
      <c r="N586" s="79"/>
      <c r="O586" s="22"/>
      <c r="P586" s="22"/>
      <c r="Q586" s="91"/>
      <c r="R586" s="88"/>
    </row>
    <row r="587" spans="1:18" x14ac:dyDescent="0.2">
      <c r="A587" s="23"/>
      <c r="B587" s="97"/>
      <c r="C587" s="97"/>
      <c r="D587" s="24"/>
      <c r="E587" s="24"/>
      <c r="F587" s="24"/>
      <c r="G587" s="24"/>
      <c r="H587" s="24"/>
      <c r="I587" s="24"/>
      <c r="J587" s="24"/>
      <c r="K587" s="26"/>
      <c r="L587" s="26"/>
      <c r="M587" s="26"/>
      <c r="N587" s="79"/>
      <c r="O587" s="22"/>
      <c r="P587" s="22"/>
      <c r="Q587" s="91"/>
      <c r="R587" s="88"/>
    </row>
    <row r="588" spans="1:18" x14ac:dyDescent="0.2">
      <c r="A588" s="23"/>
      <c r="B588" s="97"/>
      <c r="C588" s="97"/>
      <c r="D588" s="24"/>
      <c r="E588" s="24"/>
      <c r="F588" s="24"/>
      <c r="G588" s="24"/>
      <c r="H588" s="24"/>
      <c r="I588" s="24"/>
      <c r="J588" s="24"/>
      <c r="K588" s="36"/>
      <c r="L588" s="36"/>
      <c r="M588" s="36"/>
      <c r="N588" s="80"/>
      <c r="O588" s="81"/>
      <c r="P588" s="81"/>
      <c r="Q588" s="92"/>
      <c r="R588" s="89"/>
    </row>
    <row r="589" spans="1:18" x14ac:dyDescent="0.2">
      <c r="A589" s="23"/>
      <c r="B589" s="97"/>
      <c r="C589" s="97"/>
      <c r="D589" s="24"/>
      <c r="E589" s="24"/>
      <c r="F589" s="24"/>
      <c r="G589" s="24"/>
      <c r="H589" s="24"/>
      <c r="I589" s="24"/>
      <c r="J589" s="24"/>
      <c r="K589" s="26"/>
      <c r="L589" s="26"/>
      <c r="M589" s="26"/>
      <c r="N589" s="79"/>
      <c r="O589" s="22"/>
      <c r="P589" s="22"/>
      <c r="Q589" s="91"/>
      <c r="R589" s="88"/>
    </row>
    <row r="590" spans="1:18" x14ac:dyDescent="0.2">
      <c r="A590" s="23"/>
      <c r="B590" s="97"/>
      <c r="C590" s="97"/>
      <c r="D590" s="24"/>
      <c r="E590" s="24"/>
      <c r="F590" s="24"/>
      <c r="G590" s="24"/>
      <c r="H590" s="24"/>
      <c r="I590" s="24"/>
      <c r="J590" s="24"/>
      <c r="K590" s="26"/>
      <c r="L590" s="26"/>
      <c r="M590" s="26"/>
      <c r="N590" s="79"/>
      <c r="O590" s="22"/>
      <c r="P590" s="22"/>
      <c r="Q590" s="91"/>
      <c r="R590" s="88"/>
    </row>
    <row r="591" spans="1:18" x14ac:dyDescent="0.2">
      <c r="A591" s="23"/>
      <c r="B591" s="97"/>
      <c r="C591" s="97"/>
      <c r="D591" s="24"/>
      <c r="E591" s="24"/>
      <c r="F591" s="24"/>
      <c r="G591" s="24"/>
      <c r="H591" s="24"/>
      <c r="I591" s="24"/>
      <c r="J591" s="24"/>
      <c r="K591" s="26"/>
      <c r="L591" s="26"/>
      <c r="M591" s="26"/>
      <c r="N591" s="79"/>
      <c r="O591" s="22"/>
      <c r="P591" s="22"/>
      <c r="Q591" s="91"/>
      <c r="R591" s="88"/>
    </row>
    <row r="592" spans="1:18" x14ac:dyDescent="0.2">
      <c r="A592" s="23"/>
      <c r="B592" s="97"/>
      <c r="C592" s="97"/>
      <c r="D592" s="24"/>
      <c r="E592" s="24"/>
      <c r="F592" s="24"/>
      <c r="G592" s="24"/>
      <c r="H592" s="24"/>
      <c r="I592" s="24"/>
      <c r="J592" s="24"/>
      <c r="K592" s="26"/>
      <c r="L592" s="26"/>
      <c r="M592" s="26"/>
      <c r="N592" s="79"/>
      <c r="O592" s="22"/>
      <c r="P592" s="22"/>
      <c r="Q592" s="91"/>
      <c r="R592" s="88"/>
    </row>
    <row r="593" spans="1:18" x14ac:dyDescent="0.2">
      <c r="A593" s="23"/>
      <c r="B593" s="97"/>
      <c r="C593" s="97"/>
      <c r="D593" s="24"/>
      <c r="E593" s="24"/>
      <c r="F593" s="24"/>
      <c r="G593" s="24"/>
      <c r="H593" s="24"/>
      <c r="I593" s="24"/>
      <c r="J593" s="24"/>
      <c r="K593" s="26"/>
      <c r="L593" s="26"/>
      <c r="M593" s="26"/>
      <c r="N593" s="79"/>
      <c r="O593" s="22"/>
      <c r="P593" s="22"/>
      <c r="Q593" s="91"/>
      <c r="R593" s="88"/>
    </row>
    <row r="594" spans="1:18" x14ac:dyDescent="0.2">
      <c r="A594" s="23"/>
      <c r="B594" s="97"/>
      <c r="C594" s="97"/>
      <c r="D594" s="24"/>
      <c r="E594" s="24"/>
      <c r="F594" s="24"/>
      <c r="G594" s="24"/>
      <c r="H594" s="24"/>
      <c r="I594" s="24"/>
      <c r="J594" s="24"/>
      <c r="K594" s="26"/>
      <c r="L594" s="26"/>
      <c r="M594" s="26"/>
      <c r="N594" s="79"/>
      <c r="O594" s="22"/>
      <c r="P594" s="22"/>
      <c r="Q594" s="91"/>
      <c r="R594" s="88"/>
    </row>
    <row r="595" spans="1:18" x14ac:dyDescent="0.2">
      <c r="A595" s="23"/>
      <c r="B595" s="97"/>
      <c r="C595" s="97"/>
      <c r="D595" s="24"/>
      <c r="E595" s="24"/>
      <c r="F595" s="24"/>
      <c r="G595" s="24"/>
      <c r="H595" s="24"/>
      <c r="I595" s="24"/>
      <c r="J595" s="24"/>
      <c r="K595" s="26"/>
      <c r="L595" s="26"/>
      <c r="M595" s="26"/>
      <c r="N595" s="79"/>
      <c r="O595" s="22"/>
      <c r="P595" s="22"/>
      <c r="Q595" s="91"/>
      <c r="R595" s="88"/>
    </row>
    <row r="596" spans="1:18" x14ac:dyDescent="0.2">
      <c r="A596" s="23"/>
      <c r="B596" s="97"/>
      <c r="C596" s="97"/>
      <c r="D596" s="24"/>
      <c r="E596" s="24"/>
      <c r="F596" s="24"/>
      <c r="G596" s="24"/>
      <c r="H596" s="24"/>
      <c r="I596" s="24"/>
      <c r="J596" s="24"/>
      <c r="K596" s="26"/>
      <c r="L596" s="26"/>
      <c r="M596" s="26"/>
      <c r="N596" s="79"/>
      <c r="O596" s="22"/>
      <c r="P596" s="22"/>
      <c r="Q596" s="91"/>
      <c r="R596" s="88"/>
    </row>
    <row r="597" spans="1:18" x14ac:dyDescent="0.2">
      <c r="A597" s="23"/>
      <c r="B597" s="97"/>
      <c r="C597" s="97"/>
      <c r="D597" s="24"/>
      <c r="E597" s="24"/>
      <c r="F597" s="24"/>
      <c r="G597" s="24"/>
      <c r="H597" s="24"/>
      <c r="I597" s="24"/>
      <c r="J597" s="24"/>
      <c r="K597" s="26"/>
      <c r="L597" s="26"/>
      <c r="M597" s="26"/>
      <c r="N597" s="79"/>
      <c r="O597" s="22"/>
      <c r="P597" s="22"/>
      <c r="Q597" s="91"/>
      <c r="R597" s="88"/>
    </row>
    <row r="598" spans="1:18" x14ac:dyDescent="0.2">
      <c r="A598" s="23"/>
      <c r="B598" s="97"/>
      <c r="C598" s="97"/>
      <c r="D598" s="24"/>
      <c r="E598" s="24"/>
      <c r="F598" s="24"/>
      <c r="G598" s="24"/>
      <c r="H598" s="24"/>
      <c r="I598" s="24"/>
      <c r="J598" s="24"/>
      <c r="K598" s="26"/>
      <c r="L598" s="26"/>
      <c r="M598" s="26"/>
      <c r="N598" s="79"/>
      <c r="O598" s="22"/>
      <c r="P598" s="22"/>
      <c r="Q598" s="91"/>
      <c r="R598" s="88"/>
    </row>
    <row r="599" spans="1:18" x14ac:dyDescent="0.2">
      <c r="A599" s="23"/>
      <c r="B599" s="97"/>
      <c r="C599" s="97"/>
      <c r="D599" s="24"/>
      <c r="E599" s="24"/>
      <c r="F599" s="24"/>
      <c r="G599" s="24"/>
      <c r="H599" s="24"/>
      <c r="I599" s="24"/>
      <c r="J599" s="24"/>
      <c r="K599" s="26"/>
      <c r="L599" s="26"/>
      <c r="M599" s="26"/>
      <c r="N599" s="79"/>
      <c r="O599" s="22"/>
      <c r="P599" s="22"/>
      <c r="Q599" s="91"/>
      <c r="R599" s="88"/>
    </row>
    <row r="600" spans="1:18" x14ac:dyDescent="0.2">
      <c r="A600" s="23"/>
      <c r="B600" s="97"/>
      <c r="C600" s="97"/>
      <c r="D600" s="24"/>
      <c r="E600" s="24"/>
      <c r="F600" s="24"/>
      <c r="G600" s="24"/>
      <c r="H600" s="24"/>
      <c r="I600" s="24"/>
      <c r="J600" s="24"/>
      <c r="K600" s="26"/>
      <c r="L600" s="26"/>
      <c r="M600" s="26"/>
      <c r="N600" s="79"/>
      <c r="O600" s="22"/>
      <c r="P600" s="22"/>
      <c r="Q600" s="91"/>
      <c r="R600" s="88"/>
    </row>
    <row r="601" spans="1:18" x14ac:dyDescent="0.2">
      <c r="A601" s="23"/>
      <c r="B601" s="97"/>
      <c r="C601" s="97"/>
      <c r="D601" s="24"/>
      <c r="E601" s="24"/>
      <c r="F601" s="24"/>
      <c r="G601" s="24"/>
      <c r="H601" s="24"/>
      <c r="I601" s="24"/>
      <c r="J601" s="24"/>
      <c r="K601" s="36"/>
      <c r="L601" s="26"/>
      <c r="M601" s="26"/>
      <c r="N601" s="79"/>
      <c r="O601" s="81"/>
      <c r="P601" s="81"/>
      <c r="Q601" s="92"/>
      <c r="R601" s="89"/>
    </row>
    <row r="602" spans="1:18" x14ac:dyDescent="0.2">
      <c r="A602" s="23"/>
      <c r="B602" s="97"/>
      <c r="C602" s="97"/>
      <c r="D602" s="24"/>
      <c r="E602" s="24"/>
      <c r="F602" s="24"/>
      <c r="G602" s="24"/>
      <c r="H602" s="24"/>
      <c r="I602" s="24"/>
      <c r="J602" s="24"/>
      <c r="K602" s="26"/>
      <c r="L602" s="26"/>
      <c r="M602" s="26"/>
      <c r="N602" s="79"/>
      <c r="O602" s="22"/>
      <c r="P602" s="22"/>
      <c r="Q602" s="91"/>
      <c r="R602" s="88"/>
    </row>
    <row r="603" spans="1:18" x14ac:dyDescent="0.2">
      <c r="A603" s="23"/>
      <c r="B603" s="97"/>
      <c r="C603" s="97"/>
      <c r="D603" s="24"/>
      <c r="E603" s="24"/>
      <c r="F603" s="24"/>
      <c r="G603" s="24"/>
      <c r="H603" s="24"/>
      <c r="I603" s="24"/>
      <c r="J603" s="24"/>
      <c r="K603" s="26"/>
      <c r="L603" s="26"/>
      <c r="M603" s="26"/>
      <c r="N603" s="79"/>
      <c r="O603" s="22"/>
      <c r="P603" s="22"/>
      <c r="Q603" s="91"/>
      <c r="R603" s="88"/>
    </row>
    <row r="604" spans="1:18" x14ac:dyDescent="0.2">
      <c r="A604" s="23"/>
      <c r="B604" s="97"/>
      <c r="C604" s="97"/>
      <c r="D604" s="24"/>
      <c r="E604" s="24"/>
      <c r="F604" s="24"/>
      <c r="G604" s="24"/>
      <c r="H604" s="24"/>
      <c r="I604" s="24"/>
      <c r="J604" s="24"/>
      <c r="K604" s="26"/>
      <c r="L604" s="26"/>
      <c r="M604" s="26"/>
      <c r="N604" s="79"/>
      <c r="O604" s="22"/>
      <c r="P604" s="22"/>
      <c r="Q604" s="91"/>
      <c r="R604" s="88"/>
    </row>
    <row r="605" spans="1:18" x14ac:dyDescent="0.2">
      <c r="A605" s="23"/>
      <c r="B605" s="97"/>
      <c r="C605" s="97"/>
      <c r="D605" s="24"/>
      <c r="E605" s="24"/>
      <c r="F605" s="24"/>
      <c r="G605" s="24"/>
      <c r="H605" s="24"/>
      <c r="I605" s="24"/>
      <c r="J605" s="24"/>
      <c r="K605" s="26"/>
      <c r="L605" s="26"/>
      <c r="M605" s="26"/>
      <c r="N605" s="79"/>
      <c r="O605" s="22"/>
      <c r="P605" s="22"/>
      <c r="Q605" s="91"/>
      <c r="R605" s="88"/>
    </row>
    <row r="606" spans="1:18" x14ac:dyDescent="0.2">
      <c r="A606" s="23"/>
      <c r="B606" s="97"/>
      <c r="C606" s="97"/>
      <c r="D606" s="24"/>
      <c r="E606" s="24"/>
      <c r="F606" s="24"/>
      <c r="G606" s="24"/>
      <c r="H606" s="24"/>
      <c r="I606" s="24"/>
      <c r="J606" s="24"/>
      <c r="K606" s="26"/>
      <c r="L606" s="26"/>
      <c r="M606" s="26"/>
      <c r="N606" s="79"/>
      <c r="O606" s="22"/>
      <c r="P606" s="22"/>
      <c r="Q606" s="91"/>
      <c r="R606" s="88"/>
    </row>
    <row r="607" spans="1:18" x14ac:dyDescent="0.2">
      <c r="A607" s="23"/>
      <c r="B607" s="97"/>
      <c r="C607" s="97"/>
      <c r="D607" s="24"/>
      <c r="E607" s="24"/>
      <c r="F607" s="24"/>
      <c r="G607" s="24"/>
      <c r="H607" s="24"/>
      <c r="I607" s="24"/>
      <c r="J607" s="24"/>
      <c r="K607" s="26"/>
      <c r="L607" s="26"/>
      <c r="M607" s="26"/>
      <c r="N607" s="79"/>
      <c r="O607" s="22"/>
      <c r="P607" s="22"/>
      <c r="Q607" s="91"/>
      <c r="R607" s="88"/>
    </row>
    <row r="608" spans="1:18" x14ac:dyDescent="0.2">
      <c r="A608" s="23"/>
      <c r="B608" s="97"/>
      <c r="C608" s="97"/>
      <c r="D608" s="24"/>
      <c r="E608" s="24"/>
      <c r="F608" s="24"/>
      <c r="G608" s="24"/>
      <c r="H608" s="24"/>
      <c r="I608" s="24"/>
      <c r="J608" s="24"/>
      <c r="K608" s="26"/>
      <c r="L608" s="26"/>
      <c r="M608" s="26"/>
      <c r="N608" s="79"/>
      <c r="O608" s="22"/>
      <c r="P608" s="22"/>
      <c r="Q608" s="91"/>
      <c r="R608" s="88"/>
    </row>
    <row r="609" spans="1:18" x14ac:dyDescent="0.2">
      <c r="A609" s="23"/>
      <c r="B609" s="97"/>
      <c r="C609" s="97"/>
      <c r="D609" s="24"/>
      <c r="E609" s="24"/>
      <c r="F609" s="24"/>
      <c r="G609" s="24"/>
      <c r="H609" s="24"/>
      <c r="I609" s="24"/>
      <c r="J609" s="24"/>
      <c r="K609" s="26"/>
      <c r="L609" s="26"/>
      <c r="M609" s="26"/>
      <c r="N609" s="79"/>
      <c r="O609" s="22"/>
      <c r="P609" s="22"/>
      <c r="Q609" s="91"/>
      <c r="R609" s="88"/>
    </row>
    <row r="610" spans="1:18" x14ac:dyDescent="0.2">
      <c r="A610" s="23"/>
      <c r="B610" s="97"/>
      <c r="C610" s="97"/>
      <c r="D610" s="24"/>
      <c r="E610" s="24"/>
      <c r="F610" s="24"/>
      <c r="G610" s="24"/>
      <c r="H610" s="24"/>
      <c r="I610" s="24"/>
      <c r="J610" s="24"/>
      <c r="K610" s="26"/>
      <c r="L610" s="26"/>
      <c r="M610" s="26"/>
      <c r="N610" s="79"/>
      <c r="O610" s="22"/>
      <c r="P610" s="22"/>
      <c r="Q610" s="91"/>
      <c r="R610" s="88"/>
    </row>
    <row r="611" spans="1:18" x14ac:dyDescent="0.2">
      <c r="A611" s="23"/>
      <c r="B611" s="97"/>
      <c r="C611" s="97"/>
      <c r="D611" s="24"/>
      <c r="E611" s="24"/>
      <c r="F611" s="24"/>
      <c r="G611" s="24"/>
      <c r="H611" s="24"/>
      <c r="I611" s="24"/>
      <c r="J611" s="24"/>
      <c r="K611" s="26"/>
      <c r="L611" s="26"/>
      <c r="M611" s="26"/>
      <c r="N611" s="79"/>
      <c r="O611" s="22"/>
      <c r="P611" s="22"/>
      <c r="Q611" s="91"/>
      <c r="R611" s="88"/>
    </row>
    <row r="612" spans="1:18" x14ac:dyDescent="0.2">
      <c r="A612" s="23"/>
      <c r="B612" s="97"/>
      <c r="C612" s="97"/>
      <c r="D612" s="24"/>
      <c r="E612" s="24"/>
      <c r="F612" s="24"/>
      <c r="G612" s="24"/>
      <c r="H612" s="24"/>
      <c r="I612" s="24"/>
      <c r="J612" s="24"/>
      <c r="K612" s="26"/>
      <c r="L612" s="26"/>
      <c r="M612" s="26"/>
      <c r="N612" s="79"/>
      <c r="O612" s="22"/>
      <c r="P612" s="22"/>
      <c r="Q612" s="91"/>
      <c r="R612" s="88"/>
    </row>
    <row r="613" spans="1:18" x14ac:dyDescent="0.2">
      <c r="A613" s="23"/>
      <c r="B613" s="97"/>
      <c r="C613" s="97"/>
      <c r="D613" s="24"/>
      <c r="E613" s="24"/>
      <c r="F613" s="24"/>
      <c r="G613" s="24"/>
      <c r="H613" s="24"/>
      <c r="I613" s="24"/>
      <c r="J613" s="24"/>
      <c r="K613" s="26"/>
      <c r="L613" s="26"/>
      <c r="M613" s="26"/>
      <c r="N613" s="79"/>
      <c r="O613" s="22"/>
      <c r="P613" s="22"/>
      <c r="Q613" s="91"/>
      <c r="R613" s="88"/>
    </row>
    <row r="614" spans="1:18" x14ac:dyDescent="0.2">
      <c r="A614" s="23"/>
      <c r="B614" s="97"/>
      <c r="C614" s="97"/>
      <c r="D614" s="24"/>
      <c r="E614" s="24"/>
      <c r="F614" s="24"/>
      <c r="G614" s="24"/>
      <c r="H614" s="24"/>
      <c r="I614" s="24"/>
      <c r="J614" s="24"/>
      <c r="K614" s="26"/>
      <c r="L614" s="26"/>
      <c r="M614" s="26"/>
      <c r="N614" s="79"/>
      <c r="O614" s="22"/>
      <c r="P614" s="22"/>
      <c r="Q614" s="91"/>
      <c r="R614" s="88"/>
    </row>
    <row r="615" spans="1:18" x14ac:dyDescent="0.2">
      <c r="A615" s="23"/>
      <c r="B615" s="97"/>
      <c r="C615" s="97"/>
      <c r="D615" s="24"/>
      <c r="E615" s="24"/>
      <c r="F615" s="24"/>
      <c r="G615" s="24"/>
      <c r="H615" s="24"/>
      <c r="I615" s="24"/>
      <c r="J615" s="24"/>
      <c r="K615" s="26"/>
      <c r="L615" s="26"/>
      <c r="M615" s="26"/>
      <c r="N615" s="79"/>
      <c r="O615" s="22"/>
      <c r="P615" s="22"/>
      <c r="Q615" s="91"/>
      <c r="R615" s="88"/>
    </row>
    <row r="616" spans="1:18" x14ac:dyDescent="0.2">
      <c r="A616" s="23"/>
      <c r="B616" s="97"/>
      <c r="C616" s="97"/>
      <c r="D616" s="24"/>
      <c r="E616" s="24"/>
      <c r="F616" s="24"/>
      <c r="G616" s="24"/>
      <c r="H616" s="24"/>
      <c r="I616" s="24"/>
      <c r="J616" s="24"/>
      <c r="K616" s="26"/>
      <c r="L616" s="26"/>
      <c r="M616" s="26"/>
      <c r="N616" s="79"/>
      <c r="O616" s="22"/>
      <c r="P616" s="22"/>
      <c r="Q616" s="91"/>
      <c r="R616" s="88"/>
    </row>
    <row r="617" spans="1:18" x14ac:dyDescent="0.2">
      <c r="A617" s="23"/>
      <c r="B617" s="97"/>
      <c r="C617" s="97"/>
      <c r="D617" s="24"/>
      <c r="E617" s="24"/>
      <c r="F617" s="24"/>
      <c r="G617" s="24"/>
      <c r="H617" s="24"/>
      <c r="I617" s="24"/>
      <c r="J617" s="24"/>
      <c r="K617" s="26"/>
      <c r="L617" s="26"/>
      <c r="M617" s="26"/>
      <c r="N617" s="79"/>
      <c r="O617" s="22"/>
      <c r="P617" s="22"/>
      <c r="Q617" s="91"/>
      <c r="R617" s="88"/>
    </row>
    <row r="618" spans="1:18" x14ac:dyDescent="0.2">
      <c r="A618" s="23"/>
      <c r="B618" s="97"/>
      <c r="C618" s="97"/>
      <c r="D618" s="24"/>
      <c r="E618" s="24"/>
      <c r="F618" s="24"/>
      <c r="G618" s="24"/>
      <c r="H618" s="24"/>
      <c r="I618" s="24"/>
      <c r="J618" s="24"/>
      <c r="K618" s="26"/>
      <c r="L618" s="26"/>
      <c r="M618" s="26"/>
      <c r="N618" s="79"/>
      <c r="O618" s="22"/>
      <c r="P618" s="22"/>
      <c r="Q618" s="91"/>
      <c r="R618" s="88"/>
    </row>
    <row r="619" spans="1:18" x14ac:dyDescent="0.2">
      <c r="A619" s="23"/>
      <c r="B619" s="97"/>
      <c r="C619" s="97"/>
      <c r="D619" s="24"/>
      <c r="E619" s="24"/>
      <c r="F619" s="24"/>
      <c r="G619" s="24"/>
      <c r="H619" s="24"/>
      <c r="I619" s="24"/>
      <c r="J619" s="24"/>
      <c r="K619" s="26"/>
      <c r="L619" s="26"/>
      <c r="M619" s="26"/>
      <c r="N619" s="79"/>
      <c r="O619" s="22"/>
      <c r="P619" s="22"/>
      <c r="Q619" s="91"/>
      <c r="R619" s="88"/>
    </row>
    <row r="620" spans="1:18" x14ac:dyDescent="0.2">
      <c r="A620" s="23"/>
      <c r="B620" s="97"/>
      <c r="C620" s="97"/>
      <c r="D620" s="24"/>
      <c r="E620" s="24"/>
      <c r="F620" s="24"/>
      <c r="G620" s="24"/>
      <c r="H620" s="24"/>
      <c r="I620" s="24"/>
      <c r="J620" s="24"/>
      <c r="K620" s="26"/>
      <c r="L620" s="26"/>
      <c r="M620" s="26"/>
      <c r="N620" s="79"/>
      <c r="O620" s="22"/>
      <c r="P620" s="22"/>
      <c r="Q620" s="91"/>
      <c r="R620" s="88"/>
    </row>
    <row r="621" spans="1:18" x14ac:dyDescent="0.2">
      <c r="A621" s="23"/>
      <c r="B621" s="97"/>
      <c r="C621" s="97"/>
      <c r="D621" s="24"/>
      <c r="E621" s="24"/>
      <c r="F621" s="24"/>
      <c r="G621" s="24"/>
      <c r="H621" s="24"/>
      <c r="I621" s="24"/>
      <c r="J621" s="24"/>
      <c r="K621" s="26"/>
      <c r="L621" s="26"/>
      <c r="M621" s="26"/>
      <c r="N621" s="79"/>
      <c r="O621" s="22"/>
      <c r="P621" s="22"/>
      <c r="Q621" s="91"/>
      <c r="R621" s="88"/>
    </row>
    <row r="622" spans="1:18" x14ac:dyDescent="0.2">
      <c r="A622" s="23"/>
      <c r="B622" s="97"/>
      <c r="C622" s="97"/>
      <c r="D622" s="24"/>
      <c r="E622" s="24"/>
      <c r="F622" s="24"/>
      <c r="G622" s="24"/>
      <c r="H622" s="24"/>
      <c r="I622" s="24"/>
      <c r="J622" s="24"/>
      <c r="K622" s="26"/>
      <c r="L622" s="26"/>
      <c r="M622" s="26"/>
      <c r="N622" s="79"/>
      <c r="O622" s="22"/>
      <c r="P622" s="22"/>
      <c r="Q622" s="91"/>
      <c r="R622" s="88"/>
    </row>
    <row r="623" spans="1:18" x14ac:dyDescent="0.2">
      <c r="A623" s="23"/>
      <c r="B623" s="97"/>
      <c r="C623" s="97"/>
      <c r="D623" s="24"/>
      <c r="E623" s="24"/>
      <c r="F623" s="24"/>
      <c r="G623" s="24"/>
      <c r="H623" s="24"/>
      <c r="I623" s="24"/>
      <c r="J623" s="24"/>
      <c r="K623" s="26"/>
      <c r="L623" s="26"/>
      <c r="M623" s="26"/>
      <c r="N623" s="79"/>
      <c r="O623" s="22"/>
      <c r="P623" s="22"/>
      <c r="Q623" s="91"/>
      <c r="R623" s="88"/>
    </row>
    <row r="624" spans="1:18" x14ac:dyDescent="0.2">
      <c r="A624" s="23"/>
      <c r="B624" s="97"/>
      <c r="C624" s="97"/>
      <c r="D624" s="24"/>
      <c r="E624" s="24"/>
      <c r="F624" s="24"/>
      <c r="G624" s="24"/>
      <c r="H624" s="24"/>
      <c r="I624" s="24"/>
      <c r="J624" s="24"/>
      <c r="K624" s="36"/>
      <c r="L624" s="26"/>
      <c r="M624" s="26"/>
      <c r="N624" s="79"/>
      <c r="O624" s="22"/>
      <c r="P624" s="22"/>
      <c r="Q624" s="91"/>
      <c r="R624" s="88"/>
    </row>
    <row r="625" spans="1:18" x14ac:dyDescent="0.2">
      <c r="A625" s="23"/>
      <c r="B625" s="97"/>
      <c r="C625" s="97"/>
      <c r="D625" s="24"/>
      <c r="E625" s="24"/>
      <c r="F625" s="24"/>
      <c r="G625" s="24"/>
      <c r="H625" s="24"/>
      <c r="I625" s="24"/>
      <c r="J625" s="24"/>
      <c r="K625" s="36"/>
      <c r="L625" s="26"/>
      <c r="M625" s="26"/>
      <c r="N625" s="79"/>
      <c r="O625" s="22"/>
      <c r="P625" s="22"/>
      <c r="Q625" s="91"/>
      <c r="R625" s="88"/>
    </row>
    <row r="626" spans="1:18" x14ac:dyDescent="0.2">
      <c r="A626" s="23"/>
      <c r="B626" s="97"/>
      <c r="C626" s="97"/>
      <c r="D626" s="24"/>
      <c r="E626" s="24"/>
      <c r="F626" s="24"/>
      <c r="G626" s="24"/>
      <c r="H626" s="24"/>
      <c r="I626" s="24"/>
      <c r="J626" s="24"/>
      <c r="K626" s="26"/>
      <c r="L626" s="26"/>
      <c r="M626" s="26"/>
      <c r="N626" s="79"/>
      <c r="O626" s="22"/>
      <c r="P626" s="22"/>
      <c r="Q626" s="91"/>
      <c r="R626" s="88"/>
    </row>
    <row r="627" spans="1:18" x14ac:dyDescent="0.2">
      <c r="A627" s="23"/>
      <c r="B627" s="97"/>
      <c r="C627" s="97"/>
      <c r="D627" s="24"/>
      <c r="E627" s="24"/>
      <c r="F627" s="24"/>
      <c r="G627" s="24"/>
      <c r="H627" s="24"/>
      <c r="I627" s="24"/>
      <c r="J627" s="24"/>
      <c r="K627" s="26"/>
      <c r="L627" s="26"/>
      <c r="M627" s="26"/>
      <c r="N627" s="79"/>
      <c r="O627" s="22"/>
      <c r="P627" s="22"/>
      <c r="Q627" s="91"/>
      <c r="R627" s="88"/>
    </row>
    <row r="628" spans="1:18" x14ac:dyDescent="0.2">
      <c r="A628" s="23"/>
      <c r="B628" s="97"/>
      <c r="C628" s="97"/>
      <c r="D628" s="24"/>
      <c r="E628" s="24"/>
      <c r="F628" s="24"/>
      <c r="G628" s="24"/>
      <c r="H628" s="24"/>
      <c r="I628" s="24"/>
      <c r="J628" s="24"/>
      <c r="K628" s="26"/>
      <c r="L628" s="26"/>
      <c r="M628" s="26"/>
      <c r="N628" s="79"/>
      <c r="O628" s="22"/>
      <c r="P628" s="22"/>
      <c r="Q628" s="91"/>
      <c r="R628" s="88"/>
    </row>
    <row r="629" spans="1:18" x14ac:dyDescent="0.2">
      <c r="A629" s="23"/>
      <c r="B629" s="97"/>
      <c r="C629" s="97"/>
      <c r="D629" s="24"/>
      <c r="E629" s="24"/>
      <c r="F629" s="24"/>
      <c r="G629" s="24"/>
      <c r="H629" s="24"/>
      <c r="I629" s="24"/>
      <c r="J629" s="24"/>
      <c r="K629" s="26"/>
      <c r="L629" s="26"/>
      <c r="M629" s="26"/>
      <c r="N629" s="79"/>
      <c r="O629" s="22"/>
      <c r="P629" s="22"/>
      <c r="Q629" s="91"/>
      <c r="R629" s="88"/>
    </row>
    <row r="630" spans="1:18" x14ac:dyDescent="0.2">
      <c r="A630" s="23"/>
      <c r="B630" s="97"/>
      <c r="C630" s="97"/>
      <c r="D630" s="24"/>
      <c r="E630" s="24"/>
      <c r="F630" s="24"/>
      <c r="G630" s="24"/>
      <c r="H630" s="24"/>
      <c r="I630" s="24"/>
      <c r="J630" s="24"/>
      <c r="K630" s="26"/>
      <c r="L630" s="26"/>
      <c r="M630" s="26"/>
      <c r="N630" s="79"/>
      <c r="O630" s="22"/>
      <c r="P630" s="22"/>
      <c r="Q630" s="91"/>
      <c r="R630" s="88"/>
    </row>
    <row r="631" spans="1:18" x14ac:dyDescent="0.2">
      <c r="A631" s="23"/>
      <c r="B631" s="97"/>
      <c r="C631" s="97"/>
      <c r="D631" s="24"/>
      <c r="E631" s="24"/>
      <c r="F631" s="24"/>
      <c r="G631" s="24"/>
      <c r="H631" s="24"/>
      <c r="I631" s="24"/>
      <c r="J631" s="24"/>
      <c r="K631" s="26"/>
      <c r="L631" s="26"/>
      <c r="M631" s="26"/>
      <c r="N631" s="79"/>
      <c r="O631" s="22"/>
      <c r="P631" s="22"/>
      <c r="Q631" s="91"/>
      <c r="R631" s="88"/>
    </row>
    <row r="632" spans="1:18" x14ac:dyDescent="0.2">
      <c r="A632" s="23"/>
      <c r="B632" s="97"/>
      <c r="C632" s="97"/>
      <c r="D632" s="24"/>
      <c r="E632" s="24"/>
      <c r="F632" s="24"/>
      <c r="G632" s="24"/>
      <c r="H632" s="24"/>
      <c r="I632" s="24"/>
      <c r="J632" s="24"/>
      <c r="K632" s="26"/>
      <c r="L632" s="26"/>
      <c r="M632" s="26"/>
      <c r="N632" s="79"/>
      <c r="O632" s="22"/>
      <c r="P632" s="22"/>
      <c r="Q632" s="91"/>
      <c r="R632" s="88"/>
    </row>
    <row r="633" spans="1:18" x14ac:dyDescent="0.2">
      <c r="A633" s="23"/>
      <c r="B633" s="97"/>
      <c r="C633" s="97"/>
      <c r="D633" s="24"/>
      <c r="E633" s="24"/>
      <c r="F633" s="24"/>
      <c r="G633" s="24"/>
      <c r="H633" s="24"/>
      <c r="I633" s="24"/>
      <c r="J633" s="24"/>
      <c r="K633" s="26"/>
      <c r="L633" s="26"/>
      <c r="M633" s="26"/>
      <c r="N633" s="79"/>
      <c r="O633" s="22"/>
      <c r="P633" s="22"/>
      <c r="Q633" s="91"/>
      <c r="R633" s="88"/>
    </row>
    <row r="634" spans="1:18" x14ac:dyDescent="0.2">
      <c r="A634" s="23"/>
      <c r="B634" s="97"/>
      <c r="C634" s="97"/>
      <c r="D634" s="24"/>
      <c r="E634" s="24"/>
      <c r="F634" s="24"/>
      <c r="G634" s="24"/>
      <c r="H634" s="24"/>
      <c r="I634" s="24"/>
      <c r="J634" s="24"/>
      <c r="K634" s="26"/>
      <c r="L634" s="26"/>
      <c r="M634" s="26"/>
      <c r="N634" s="79"/>
      <c r="O634" s="22"/>
      <c r="P634" s="22"/>
      <c r="Q634" s="91"/>
      <c r="R634" s="88"/>
    </row>
    <row r="635" spans="1:18" x14ac:dyDescent="0.2">
      <c r="A635" s="23"/>
      <c r="B635" s="97"/>
      <c r="C635" s="97"/>
      <c r="D635" s="24"/>
      <c r="E635" s="24"/>
      <c r="F635" s="24"/>
      <c r="G635" s="24"/>
      <c r="H635" s="24"/>
      <c r="I635" s="24"/>
      <c r="J635" s="24"/>
      <c r="K635" s="26"/>
      <c r="L635" s="26"/>
      <c r="M635" s="26"/>
      <c r="N635" s="79"/>
      <c r="O635" s="22"/>
      <c r="P635" s="22"/>
      <c r="Q635" s="91"/>
      <c r="R635" s="88"/>
    </row>
    <row r="636" spans="1:18" x14ac:dyDescent="0.2">
      <c r="A636" s="23"/>
      <c r="B636" s="97"/>
      <c r="C636" s="97"/>
      <c r="D636" s="24"/>
      <c r="E636" s="24"/>
      <c r="F636" s="24"/>
      <c r="G636" s="24"/>
      <c r="H636" s="24"/>
      <c r="I636" s="24"/>
      <c r="J636" s="24"/>
      <c r="K636" s="26"/>
      <c r="L636" s="26"/>
      <c r="M636" s="26"/>
      <c r="N636" s="79"/>
      <c r="O636" s="22"/>
      <c r="P636" s="22"/>
      <c r="Q636" s="91"/>
      <c r="R636" s="88"/>
    </row>
    <row r="637" spans="1:18" x14ac:dyDescent="0.2">
      <c r="A637" s="23"/>
      <c r="B637" s="97"/>
      <c r="C637" s="97"/>
      <c r="D637" s="24"/>
      <c r="E637" s="24"/>
      <c r="F637" s="24"/>
      <c r="G637" s="24"/>
      <c r="H637" s="24"/>
      <c r="I637" s="24"/>
      <c r="J637" s="24"/>
      <c r="K637" s="26"/>
      <c r="L637" s="26"/>
      <c r="M637" s="26"/>
      <c r="N637" s="79"/>
      <c r="O637" s="22"/>
      <c r="P637" s="22"/>
      <c r="Q637" s="91"/>
      <c r="R637" s="88"/>
    </row>
    <row r="638" spans="1:18" x14ac:dyDescent="0.2">
      <c r="A638" s="23"/>
      <c r="B638" s="97"/>
      <c r="C638" s="97"/>
      <c r="D638" s="24"/>
      <c r="E638" s="24"/>
      <c r="F638" s="24"/>
      <c r="G638" s="24"/>
      <c r="H638" s="24"/>
      <c r="I638" s="24"/>
      <c r="J638" s="24"/>
      <c r="K638" s="26"/>
      <c r="L638" s="26"/>
      <c r="M638" s="26"/>
      <c r="N638" s="79"/>
      <c r="O638" s="22"/>
      <c r="P638" s="22"/>
      <c r="Q638" s="91"/>
      <c r="R638" s="88"/>
    </row>
    <row r="639" spans="1:18" x14ac:dyDescent="0.2">
      <c r="A639" s="23"/>
      <c r="B639" s="97"/>
      <c r="C639" s="97"/>
      <c r="D639" s="24"/>
      <c r="E639" s="24"/>
      <c r="F639" s="24"/>
      <c r="G639" s="24"/>
      <c r="H639" s="24"/>
      <c r="I639" s="24"/>
      <c r="J639" s="24"/>
      <c r="K639" s="26"/>
      <c r="L639" s="26"/>
      <c r="M639" s="26"/>
      <c r="N639" s="79"/>
      <c r="O639" s="22"/>
      <c r="P639" s="22"/>
      <c r="Q639" s="91"/>
      <c r="R639" s="88"/>
    </row>
    <row r="640" spans="1:18" x14ac:dyDescent="0.2">
      <c r="A640" s="23"/>
      <c r="B640" s="97"/>
      <c r="C640" s="97"/>
      <c r="D640" s="24"/>
      <c r="E640" s="24"/>
      <c r="F640" s="24"/>
      <c r="G640" s="24"/>
      <c r="H640" s="24"/>
      <c r="I640" s="24"/>
      <c r="J640" s="24"/>
      <c r="K640" s="26"/>
      <c r="L640" s="26"/>
      <c r="M640" s="26"/>
      <c r="N640" s="79"/>
      <c r="O640" s="22"/>
      <c r="P640" s="22"/>
      <c r="Q640" s="91"/>
      <c r="R640" s="88"/>
    </row>
    <row r="641" spans="1:18" x14ac:dyDescent="0.2">
      <c r="A641" s="23"/>
      <c r="B641" s="97"/>
      <c r="C641" s="97"/>
      <c r="D641" s="24"/>
      <c r="E641" s="24"/>
      <c r="F641" s="24"/>
      <c r="G641" s="24"/>
      <c r="H641" s="24"/>
      <c r="I641" s="24"/>
      <c r="J641" s="24"/>
      <c r="K641" s="26"/>
      <c r="L641" s="26"/>
      <c r="M641" s="26"/>
      <c r="N641" s="79"/>
      <c r="O641" s="22"/>
      <c r="P641" s="22"/>
      <c r="Q641" s="91"/>
      <c r="R641" s="88"/>
    </row>
    <row r="642" spans="1:18" x14ac:dyDescent="0.2">
      <c r="A642" s="23"/>
      <c r="B642" s="97"/>
      <c r="C642" s="97"/>
      <c r="D642" s="24"/>
      <c r="E642" s="24"/>
      <c r="F642" s="24"/>
      <c r="G642" s="24"/>
      <c r="H642" s="24"/>
      <c r="I642" s="24"/>
      <c r="J642" s="24"/>
      <c r="K642" s="26"/>
      <c r="L642" s="26"/>
      <c r="M642" s="26"/>
      <c r="N642" s="79"/>
      <c r="O642" s="22"/>
      <c r="P642" s="22"/>
      <c r="Q642" s="91"/>
      <c r="R642" s="88"/>
    </row>
    <row r="643" spans="1:18" x14ac:dyDescent="0.2">
      <c r="A643" s="23"/>
      <c r="B643" s="97"/>
      <c r="C643" s="97"/>
      <c r="D643" s="24"/>
      <c r="E643" s="24"/>
      <c r="F643" s="24"/>
      <c r="G643" s="24"/>
      <c r="H643" s="24"/>
      <c r="I643" s="24"/>
      <c r="J643" s="24"/>
      <c r="K643" s="26"/>
      <c r="L643" s="26"/>
      <c r="M643" s="26"/>
      <c r="N643" s="79"/>
      <c r="O643" s="22"/>
      <c r="P643" s="22"/>
      <c r="Q643" s="91"/>
      <c r="R643" s="88"/>
    </row>
    <row r="644" spans="1:18" x14ac:dyDescent="0.2">
      <c r="A644" s="23"/>
      <c r="B644" s="97"/>
      <c r="C644" s="97"/>
      <c r="D644" s="24"/>
      <c r="E644" s="24"/>
      <c r="F644" s="24"/>
      <c r="G644" s="24"/>
      <c r="H644" s="24"/>
      <c r="I644" s="24"/>
      <c r="J644" s="24"/>
      <c r="K644" s="26"/>
      <c r="L644" s="26"/>
      <c r="M644" s="26"/>
      <c r="N644" s="79"/>
      <c r="O644" s="22"/>
      <c r="P644" s="22"/>
      <c r="Q644" s="91"/>
      <c r="R644" s="88"/>
    </row>
    <row r="645" spans="1:18" x14ac:dyDescent="0.2">
      <c r="A645" s="23"/>
      <c r="B645" s="97"/>
      <c r="C645" s="97"/>
      <c r="D645" s="24"/>
      <c r="E645" s="24"/>
      <c r="F645" s="24"/>
      <c r="G645" s="24"/>
      <c r="H645" s="24"/>
      <c r="I645" s="24"/>
      <c r="J645" s="24"/>
      <c r="K645" s="26"/>
      <c r="L645" s="26"/>
      <c r="M645" s="26"/>
      <c r="N645" s="79"/>
      <c r="O645" s="22"/>
      <c r="P645" s="22"/>
      <c r="Q645" s="91"/>
      <c r="R645" s="88"/>
    </row>
    <row r="646" spans="1:18" x14ac:dyDescent="0.2">
      <c r="A646" s="23"/>
      <c r="B646" s="97"/>
      <c r="C646" s="97"/>
      <c r="D646" s="24"/>
      <c r="E646" s="24"/>
      <c r="F646" s="24"/>
      <c r="G646" s="24"/>
      <c r="H646" s="24"/>
      <c r="I646" s="24"/>
      <c r="J646" s="24"/>
      <c r="K646" s="26"/>
      <c r="L646" s="26"/>
      <c r="M646" s="26"/>
      <c r="N646" s="79"/>
      <c r="O646" s="22"/>
      <c r="P646" s="22"/>
      <c r="Q646" s="91"/>
      <c r="R646" s="88"/>
    </row>
    <row r="647" spans="1:18" x14ac:dyDescent="0.2">
      <c r="A647" s="23"/>
      <c r="B647" s="97"/>
      <c r="C647" s="97"/>
      <c r="D647" s="24"/>
      <c r="E647" s="24"/>
      <c r="F647" s="24"/>
      <c r="G647" s="24"/>
      <c r="H647" s="24"/>
      <c r="I647" s="24"/>
      <c r="J647" s="24"/>
      <c r="K647" s="26"/>
      <c r="L647" s="26"/>
      <c r="M647" s="26"/>
      <c r="N647" s="79"/>
      <c r="O647" s="22"/>
      <c r="P647" s="22"/>
      <c r="Q647" s="91"/>
      <c r="R647" s="88"/>
    </row>
    <row r="648" spans="1:18" x14ac:dyDescent="0.2">
      <c r="A648" s="23"/>
      <c r="B648" s="97"/>
      <c r="C648" s="97"/>
      <c r="D648" s="24"/>
      <c r="E648" s="24"/>
      <c r="F648" s="24"/>
      <c r="G648" s="24"/>
      <c r="H648" s="24"/>
      <c r="I648" s="24"/>
      <c r="J648" s="24"/>
      <c r="K648" s="26"/>
      <c r="L648" s="26"/>
      <c r="M648" s="26"/>
      <c r="N648" s="79"/>
      <c r="O648" s="22"/>
      <c r="P648" s="22"/>
      <c r="Q648" s="91"/>
      <c r="R648" s="88"/>
    </row>
    <row r="649" spans="1:18" x14ac:dyDescent="0.2">
      <c r="A649" s="23"/>
      <c r="B649" s="97"/>
      <c r="C649" s="97"/>
      <c r="D649" s="24"/>
      <c r="E649" s="24"/>
      <c r="F649" s="24"/>
      <c r="G649" s="24"/>
      <c r="H649" s="24"/>
      <c r="I649" s="24"/>
      <c r="J649" s="24"/>
      <c r="K649" s="26"/>
      <c r="L649" s="26"/>
      <c r="M649" s="26"/>
      <c r="N649" s="79"/>
      <c r="O649" s="22"/>
      <c r="P649" s="22"/>
      <c r="Q649" s="91"/>
      <c r="R649" s="88"/>
    </row>
    <row r="650" spans="1:18" x14ac:dyDescent="0.2">
      <c r="A650" s="23"/>
      <c r="B650" s="97"/>
      <c r="C650" s="97"/>
      <c r="D650" s="24"/>
      <c r="E650" s="24"/>
      <c r="F650" s="24"/>
      <c r="G650" s="24"/>
      <c r="H650" s="24"/>
      <c r="I650" s="24"/>
      <c r="J650" s="24"/>
      <c r="K650" s="26"/>
      <c r="L650" s="26"/>
      <c r="M650" s="26"/>
      <c r="N650" s="79"/>
      <c r="O650" s="22"/>
      <c r="P650" s="22"/>
      <c r="Q650" s="91"/>
      <c r="R650" s="88"/>
    </row>
    <row r="651" spans="1:18" x14ac:dyDescent="0.2">
      <c r="A651" s="23"/>
      <c r="B651" s="97"/>
      <c r="C651" s="97"/>
      <c r="D651" s="24"/>
      <c r="E651" s="24"/>
      <c r="F651" s="24"/>
      <c r="G651" s="24"/>
      <c r="H651" s="24"/>
      <c r="I651" s="24"/>
      <c r="J651" s="24"/>
      <c r="K651" s="26"/>
      <c r="L651" s="26"/>
      <c r="M651" s="26"/>
      <c r="N651" s="79"/>
      <c r="O651" s="22"/>
      <c r="P651" s="22"/>
      <c r="Q651" s="91"/>
      <c r="R651" s="88"/>
    </row>
    <row r="652" spans="1:18" x14ac:dyDescent="0.2">
      <c r="A652" s="23"/>
      <c r="B652" s="97"/>
      <c r="C652" s="97"/>
      <c r="D652" s="24"/>
      <c r="E652" s="24"/>
      <c r="F652" s="24"/>
      <c r="G652" s="24"/>
      <c r="H652" s="24"/>
      <c r="I652" s="24"/>
      <c r="J652" s="24"/>
      <c r="K652" s="26"/>
      <c r="L652" s="26"/>
      <c r="M652" s="26"/>
      <c r="N652" s="79"/>
      <c r="O652" s="22"/>
      <c r="P652" s="22"/>
      <c r="Q652" s="91"/>
      <c r="R652" s="88"/>
    </row>
    <row r="653" spans="1:18" x14ac:dyDescent="0.2">
      <c r="A653" s="23"/>
      <c r="B653" s="97"/>
      <c r="C653" s="97"/>
      <c r="D653" s="24"/>
      <c r="E653" s="24"/>
      <c r="F653" s="24"/>
      <c r="G653" s="24"/>
      <c r="H653" s="24"/>
      <c r="I653" s="24"/>
      <c r="J653" s="24"/>
      <c r="K653" s="26"/>
      <c r="L653" s="26"/>
      <c r="M653" s="26"/>
      <c r="N653" s="79"/>
      <c r="O653" s="22"/>
      <c r="P653" s="22"/>
      <c r="Q653" s="91"/>
      <c r="R653" s="88"/>
    </row>
    <row r="654" spans="1:18" x14ac:dyDescent="0.2">
      <c r="A654" s="23"/>
      <c r="B654" s="97"/>
      <c r="C654" s="97"/>
      <c r="D654" s="24"/>
      <c r="E654" s="24"/>
      <c r="F654" s="24"/>
      <c r="G654" s="24"/>
      <c r="H654" s="24"/>
      <c r="I654" s="24"/>
      <c r="J654" s="24"/>
      <c r="K654" s="26"/>
      <c r="L654" s="26"/>
      <c r="M654" s="26"/>
      <c r="N654" s="79"/>
      <c r="O654" s="22"/>
      <c r="P654" s="22"/>
      <c r="Q654" s="91"/>
      <c r="R654" s="88"/>
    </row>
    <row r="655" spans="1:18" x14ac:dyDescent="0.2">
      <c r="A655" s="23"/>
      <c r="B655" s="97"/>
      <c r="C655" s="97"/>
      <c r="D655" s="24"/>
      <c r="E655" s="24"/>
      <c r="F655" s="24"/>
      <c r="G655" s="24"/>
      <c r="H655" s="24"/>
      <c r="I655" s="24"/>
      <c r="J655" s="24"/>
      <c r="K655" s="26"/>
      <c r="L655" s="26"/>
      <c r="M655" s="26"/>
      <c r="N655" s="79"/>
      <c r="O655" s="22"/>
      <c r="P655" s="22"/>
      <c r="Q655" s="91"/>
      <c r="R655" s="88"/>
    </row>
    <row r="656" spans="1:18" x14ac:dyDescent="0.2">
      <c r="A656" s="23"/>
      <c r="B656" s="97"/>
      <c r="C656" s="97"/>
      <c r="D656" s="24"/>
      <c r="E656" s="24"/>
      <c r="F656" s="24"/>
      <c r="G656" s="24"/>
      <c r="H656" s="24"/>
      <c r="I656" s="24"/>
      <c r="J656" s="24"/>
      <c r="K656" s="26"/>
      <c r="L656" s="26"/>
      <c r="M656" s="26"/>
      <c r="N656" s="79"/>
      <c r="O656" s="22"/>
      <c r="P656" s="22"/>
      <c r="Q656" s="91"/>
      <c r="R656" s="88"/>
    </row>
    <row r="657" spans="1:18" x14ac:dyDescent="0.2">
      <c r="A657" s="23"/>
      <c r="B657" s="97"/>
      <c r="C657" s="97"/>
      <c r="D657" s="24"/>
      <c r="E657" s="24"/>
      <c r="F657" s="24"/>
      <c r="G657" s="24"/>
      <c r="H657" s="24"/>
      <c r="I657" s="24"/>
      <c r="J657" s="24"/>
      <c r="K657" s="26"/>
      <c r="L657" s="26"/>
      <c r="M657" s="26"/>
      <c r="N657" s="79"/>
      <c r="O657" s="22"/>
      <c r="P657" s="22"/>
      <c r="Q657" s="91"/>
      <c r="R657" s="88"/>
    </row>
    <row r="658" spans="1:18" x14ac:dyDescent="0.2">
      <c r="A658" s="23"/>
      <c r="B658" s="97"/>
      <c r="C658" s="97"/>
      <c r="D658" s="24"/>
      <c r="E658" s="24"/>
      <c r="F658" s="24"/>
      <c r="G658" s="24"/>
      <c r="H658" s="24"/>
      <c r="I658" s="24"/>
      <c r="J658" s="24"/>
      <c r="K658" s="26"/>
      <c r="L658" s="26"/>
      <c r="M658" s="26"/>
      <c r="N658" s="79"/>
      <c r="O658" s="22"/>
      <c r="P658" s="22"/>
      <c r="Q658" s="91"/>
      <c r="R658" s="88"/>
    </row>
    <row r="659" spans="1:18" x14ac:dyDescent="0.2">
      <c r="A659" s="23"/>
      <c r="B659" s="97"/>
      <c r="C659" s="97"/>
      <c r="D659" s="24"/>
      <c r="E659" s="24"/>
      <c r="F659" s="24"/>
      <c r="G659" s="24"/>
      <c r="H659" s="24"/>
      <c r="I659" s="24"/>
      <c r="J659" s="24"/>
      <c r="K659" s="26"/>
      <c r="L659" s="26"/>
      <c r="M659" s="26"/>
      <c r="N659" s="79"/>
      <c r="O659" s="22"/>
      <c r="P659" s="22"/>
      <c r="Q659" s="91"/>
      <c r="R659" s="88"/>
    </row>
    <row r="660" spans="1:18" x14ac:dyDescent="0.2">
      <c r="A660" s="23"/>
      <c r="B660" s="97"/>
      <c r="C660" s="97"/>
      <c r="D660" s="24"/>
      <c r="E660" s="24"/>
      <c r="F660" s="24"/>
      <c r="G660" s="24"/>
      <c r="H660" s="24"/>
      <c r="I660" s="24"/>
      <c r="J660" s="24"/>
      <c r="K660" s="26"/>
      <c r="L660" s="26"/>
      <c r="M660" s="26"/>
      <c r="N660" s="79"/>
      <c r="O660" s="22"/>
      <c r="P660" s="22"/>
      <c r="Q660" s="91"/>
      <c r="R660" s="88"/>
    </row>
    <row r="661" spans="1:18" x14ac:dyDescent="0.2">
      <c r="A661" s="23"/>
      <c r="B661" s="97"/>
      <c r="C661" s="97"/>
      <c r="D661" s="24"/>
      <c r="E661" s="24"/>
      <c r="F661" s="24"/>
      <c r="G661" s="24"/>
      <c r="H661" s="24"/>
      <c r="I661" s="24"/>
      <c r="J661" s="24"/>
      <c r="K661" s="26"/>
      <c r="L661" s="26"/>
      <c r="M661" s="26"/>
      <c r="N661" s="79"/>
      <c r="O661" s="22"/>
      <c r="P661" s="22"/>
      <c r="Q661" s="91"/>
      <c r="R661" s="88"/>
    </row>
    <row r="662" spans="1:18" x14ac:dyDescent="0.2">
      <c r="A662" s="23"/>
      <c r="B662" s="97"/>
      <c r="C662" s="97"/>
      <c r="D662" s="24"/>
      <c r="E662" s="24"/>
      <c r="F662" s="24"/>
      <c r="G662" s="24"/>
      <c r="H662" s="24"/>
      <c r="I662" s="24"/>
      <c r="J662" s="24"/>
      <c r="K662" s="26"/>
      <c r="L662" s="26"/>
      <c r="M662" s="26"/>
      <c r="N662" s="79"/>
      <c r="O662" s="22"/>
      <c r="P662" s="22"/>
      <c r="Q662" s="91"/>
      <c r="R662" s="88"/>
    </row>
    <row r="663" spans="1:18" x14ac:dyDescent="0.2">
      <c r="A663" s="23"/>
      <c r="B663" s="97"/>
      <c r="C663" s="97"/>
      <c r="D663" s="24"/>
      <c r="E663" s="24"/>
      <c r="F663" s="24"/>
      <c r="G663" s="24"/>
      <c r="H663" s="24"/>
      <c r="I663" s="24"/>
      <c r="J663" s="24"/>
      <c r="K663" s="26"/>
      <c r="L663" s="26"/>
      <c r="M663" s="26"/>
      <c r="N663" s="79"/>
      <c r="O663" s="22"/>
      <c r="P663" s="22"/>
      <c r="Q663" s="91"/>
      <c r="R663" s="88"/>
    </row>
    <row r="664" spans="1:18" x14ac:dyDescent="0.2">
      <c r="A664" s="23"/>
      <c r="B664" s="97"/>
      <c r="C664" s="97"/>
      <c r="D664" s="24"/>
      <c r="E664" s="24"/>
      <c r="F664" s="24"/>
      <c r="G664" s="24"/>
      <c r="H664" s="24"/>
      <c r="I664" s="24"/>
      <c r="J664" s="24"/>
      <c r="K664" s="26"/>
      <c r="L664" s="26"/>
      <c r="M664" s="26"/>
      <c r="N664" s="79"/>
      <c r="O664" s="22"/>
      <c r="P664" s="22"/>
      <c r="Q664" s="91"/>
      <c r="R664" s="88"/>
    </row>
    <row r="665" spans="1:18" x14ac:dyDescent="0.2">
      <c r="A665" s="23"/>
      <c r="B665" s="97"/>
      <c r="C665" s="97"/>
      <c r="D665" s="24"/>
      <c r="E665" s="24"/>
      <c r="F665" s="24"/>
      <c r="G665" s="24"/>
      <c r="H665" s="24"/>
      <c r="I665" s="24"/>
      <c r="J665" s="24"/>
      <c r="K665" s="26"/>
      <c r="L665" s="26"/>
      <c r="M665" s="26"/>
      <c r="N665" s="79"/>
      <c r="O665" s="22"/>
      <c r="P665" s="22"/>
      <c r="Q665" s="91"/>
      <c r="R665" s="88"/>
    </row>
    <row r="666" spans="1:18" x14ac:dyDescent="0.2">
      <c r="A666" s="23"/>
      <c r="B666" s="97"/>
      <c r="C666" s="97"/>
      <c r="D666" s="24"/>
      <c r="E666" s="24"/>
      <c r="F666" s="24"/>
      <c r="G666" s="24"/>
      <c r="H666" s="24"/>
      <c r="I666" s="24"/>
      <c r="J666" s="24"/>
      <c r="K666" s="26"/>
      <c r="L666" s="26"/>
      <c r="M666" s="26"/>
      <c r="N666" s="79"/>
      <c r="O666" s="22"/>
      <c r="P666" s="22"/>
      <c r="Q666" s="91"/>
      <c r="R666" s="88"/>
    </row>
    <row r="667" spans="1:18" x14ac:dyDescent="0.2">
      <c r="A667" s="23"/>
      <c r="B667" s="97"/>
      <c r="C667" s="97"/>
      <c r="D667" s="24"/>
      <c r="E667" s="24"/>
      <c r="F667" s="24"/>
      <c r="G667" s="24"/>
      <c r="H667" s="24"/>
      <c r="I667" s="24"/>
      <c r="J667" s="24"/>
      <c r="K667" s="26"/>
      <c r="L667" s="26"/>
      <c r="M667" s="26"/>
      <c r="N667" s="79"/>
      <c r="O667" s="22"/>
      <c r="P667" s="22"/>
      <c r="Q667" s="91"/>
      <c r="R667" s="88"/>
    </row>
    <row r="668" spans="1:18" x14ac:dyDescent="0.2">
      <c r="A668" s="23"/>
      <c r="B668" s="97"/>
      <c r="C668" s="97"/>
      <c r="D668" s="24"/>
      <c r="E668" s="24"/>
      <c r="F668" s="24"/>
      <c r="G668" s="24"/>
      <c r="H668" s="24"/>
      <c r="I668" s="24"/>
      <c r="J668" s="24"/>
      <c r="K668" s="26"/>
      <c r="L668" s="26"/>
      <c r="M668" s="26"/>
      <c r="N668" s="79"/>
      <c r="O668" s="22"/>
      <c r="P668" s="22"/>
      <c r="Q668" s="91"/>
      <c r="R668" s="88"/>
    </row>
    <row r="669" spans="1:18" x14ac:dyDescent="0.2">
      <c r="A669" s="23"/>
      <c r="B669" s="97"/>
      <c r="C669" s="97"/>
      <c r="D669" s="24"/>
      <c r="E669" s="24"/>
      <c r="F669" s="24"/>
      <c r="G669" s="24"/>
      <c r="H669" s="24"/>
      <c r="I669" s="24"/>
      <c r="J669" s="24"/>
      <c r="K669" s="26"/>
      <c r="L669" s="26"/>
      <c r="M669" s="26"/>
      <c r="N669" s="79"/>
      <c r="O669" s="22"/>
      <c r="P669" s="22"/>
      <c r="Q669" s="91"/>
      <c r="R669" s="88"/>
    </row>
    <row r="670" spans="1:18" x14ac:dyDescent="0.2">
      <c r="A670" s="23"/>
      <c r="B670" s="97"/>
      <c r="C670" s="97"/>
      <c r="D670" s="24"/>
      <c r="E670" s="24"/>
      <c r="F670" s="24"/>
      <c r="G670" s="24"/>
      <c r="H670" s="24"/>
      <c r="I670" s="24"/>
      <c r="J670" s="24"/>
      <c r="K670" s="26"/>
      <c r="L670" s="26"/>
      <c r="M670" s="26"/>
      <c r="N670" s="79"/>
      <c r="O670" s="22"/>
      <c r="P670" s="22"/>
      <c r="Q670" s="91"/>
      <c r="R670" s="88"/>
    </row>
    <row r="671" spans="1:18" x14ac:dyDescent="0.2">
      <c r="A671" s="23"/>
      <c r="B671" s="97"/>
      <c r="C671" s="97"/>
      <c r="D671" s="24"/>
      <c r="E671" s="24"/>
      <c r="F671" s="24"/>
      <c r="G671" s="24"/>
      <c r="H671" s="24"/>
      <c r="I671" s="24"/>
      <c r="J671" s="24"/>
      <c r="K671" s="26"/>
      <c r="L671" s="26"/>
      <c r="M671" s="26"/>
      <c r="N671" s="79"/>
      <c r="O671" s="22"/>
      <c r="P671" s="22"/>
      <c r="Q671" s="91"/>
      <c r="R671" s="88"/>
    </row>
    <row r="672" spans="1:18" x14ac:dyDescent="0.2">
      <c r="A672" s="23"/>
      <c r="B672" s="97"/>
      <c r="C672" s="97"/>
      <c r="D672" s="24"/>
      <c r="E672" s="24"/>
      <c r="F672" s="24"/>
      <c r="G672" s="24"/>
      <c r="H672" s="24"/>
      <c r="I672" s="24"/>
      <c r="J672" s="24"/>
      <c r="K672" s="26"/>
      <c r="L672" s="26"/>
      <c r="M672" s="26"/>
      <c r="N672" s="79"/>
      <c r="O672" s="22"/>
      <c r="P672" s="22"/>
      <c r="Q672" s="91"/>
      <c r="R672" s="88"/>
    </row>
    <row r="673" spans="1:18" x14ac:dyDescent="0.2">
      <c r="A673" s="23"/>
      <c r="B673" s="97"/>
      <c r="C673" s="97"/>
      <c r="D673" s="24"/>
      <c r="E673" s="24"/>
      <c r="F673" s="24"/>
      <c r="G673" s="24"/>
      <c r="H673" s="24"/>
      <c r="I673" s="24"/>
      <c r="J673" s="24"/>
      <c r="K673" s="26"/>
      <c r="L673" s="26"/>
      <c r="M673" s="26"/>
      <c r="N673" s="79"/>
      <c r="O673" s="22"/>
      <c r="P673" s="22"/>
      <c r="Q673" s="91"/>
      <c r="R673" s="88"/>
    </row>
    <row r="674" spans="1:18" x14ac:dyDescent="0.2">
      <c r="A674" s="23"/>
      <c r="B674" s="97"/>
      <c r="C674" s="97"/>
      <c r="D674" s="24"/>
      <c r="E674" s="24"/>
      <c r="F674" s="24"/>
      <c r="G674" s="24"/>
      <c r="H674" s="24"/>
      <c r="I674" s="24"/>
      <c r="J674" s="24"/>
      <c r="K674" s="26"/>
      <c r="L674" s="26"/>
      <c r="M674" s="26"/>
      <c r="N674" s="79"/>
      <c r="O674" s="22"/>
      <c r="P674" s="22"/>
      <c r="Q674" s="91"/>
      <c r="R674" s="88"/>
    </row>
    <row r="675" spans="1:18" x14ac:dyDescent="0.2">
      <c r="A675" s="23"/>
      <c r="B675" s="97"/>
      <c r="C675" s="97"/>
      <c r="D675" s="24"/>
      <c r="E675" s="24"/>
      <c r="F675" s="24"/>
      <c r="G675" s="24"/>
      <c r="H675" s="24"/>
      <c r="I675" s="24"/>
      <c r="J675" s="24"/>
      <c r="K675" s="26"/>
      <c r="L675" s="26"/>
      <c r="M675" s="26"/>
      <c r="N675" s="79"/>
      <c r="O675" s="22"/>
      <c r="P675" s="22"/>
      <c r="Q675" s="91"/>
      <c r="R675" s="88"/>
    </row>
    <row r="676" spans="1:18" x14ac:dyDescent="0.2">
      <c r="A676" s="23"/>
      <c r="B676" s="97"/>
      <c r="C676" s="97"/>
      <c r="D676" s="24"/>
      <c r="E676" s="24"/>
      <c r="F676" s="24"/>
      <c r="G676" s="24"/>
      <c r="H676" s="24"/>
      <c r="I676" s="24"/>
      <c r="J676" s="24"/>
      <c r="K676" s="26"/>
      <c r="L676" s="26"/>
      <c r="M676" s="26"/>
      <c r="N676" s="79"/>
      <c r="O676" s="22"/>
      <c r="P676" s="22"/>
      <c r="Q676" s="91"/>
      <c r="R676" s="88"/>
    </row>
    <row r="677" spans="1:18" x14ac:dyDescent="0.2">
      <c r="A677" s="23"/>
      <c r="B677" s="97"/>
      <c r="C677" s="97"/>
      <c r="D677" s="24"/>
      <c r="E677" s="24"/>
      <c r="F677" s="24"/>
      <c r="G677" s="24"/>
      <c r="H677" s="24"/>
      <c r="I677" s="24"/>
      <c r="J677" s="24"/>
      <c r="K677" s="26"/>
      <c r="L677" s="26"/>
      <c r="M677" s="26"/>
      <c r="N677" s="79"/>
      <c r="O677" s="22"/>
      <c r="P677" s="22"/>
      <c r="Q677" s="91"/>
      <c r="R677" s="88"/>
    </row>
    <row r="678" spans="1:18" x14ac:dyDescent="0.2">
      <c r="A678" s="23"/>
      <c r="B678" s="97"/>
      <c r="C678" s="97"/>
      <c r="D678" s="24"/>
      <c r="E678" s="24"/>
      <c r="F678" s="24"/>
      <c r="G678" s="24"/>
      <c r="H678" s="24"/>
      <c r="I678" s="24"/>
      <c r="J678" s="24"/>
      <c r="K678" s="26"/>
      <c r="L678" s="26"/>
      <c r="M678" s="26"/>
      <c r="N678" s="79"/>
      <c r="O678" s="22"/>
      <c r="P678" s="22"/>
      <c r="Q678" s="91"/>
      <c r="R678" s="88"/>
    </row>
    <row r="679" spans="1:18" x14ac:dyDescent="0.2">
      <c r="A679" s="23"/>
      <c r="B679" s="97"/>
      <c r="C679" s="97"/>
      <c r="D679" s="24"/>
      <c r="E679" s="24"/>
      <c r="F679" s="24"/>
      <c r="G679" s="24"/>
      <c r="H679" s="24"/>
      <c r="I679" s="24"/>
      <c r="J679" s="24"/>
      <c r="K679" s="26"/>
      <c r="L679" s="26"/>
      <c r="M679" s="26"/>
      <c r="N679" s="79"/>
      <c r="O679" s="22"/>
      <c r="P679" s="22"/>
      <c r="Q679" s="91"/>
      <c r="R679" s="88"/>
    </row>
    <row r="680" spans="1:18" x14ac:dyDescent="0.2">
      <c r="A680" s="23"/>
      <c r="B680" s="97"/>
      <c r="C680" s="97"/>
      <c r="D680" s="24"/>
      <c r="E680" s="24"/>
      <c r="F680" s="24"/>
      <c r="G680" s="24"/>
      <c r="H680" s="24"/>
      <c r="I680" s="24"/>
      <c r="J680" s="24"/>
      <c r="K680" s="26"/>
      <c r="L680" s="26"/>
      <c r="M680" s="26"/>
      <c r="N680" s="79"/>
      <c r="O680" s="22"/>
      <c r="P680" s="22"/>
      <c r="Q680" s="91"/>
      <c r="R680" s="88"/>
    </row>
    <row r="681" spans="1:18" x14ac:dyDescent="0.2">
      <c r="A681" s="23"/>
      <c r="B681" s="97"/>
      <c r="C681" s="97"/>
      <c r="D681" s="24"/>
      <c r="E681" s="24"/>
      <c r="F681" s="24"/>
      <c r="G681" s="24"/>
      <c r="H681" s="24"/>
      <c r="I681" s="24"/>
      <c r="J681" s="24"/>
      <c r="K681" s="26"/>
      <c r="L681" s="26"/>
      <c r="M681" s="26"/>
      <c r="N681" s="79"/>
      <c r="O681" s="22"/>
      <c r="P681" s="22"/>
      <c r="Q681" s="91"/>
      <c r="R681" s="88"/>
    </row>
    <row r="682" spans="1:18" x14ac:dyDescent="0.2">
      <c r="A682" s="23"/>
      <c r="B682" s="97"/>
      <c r="C682" s="97"/>
      <c r="D682" s="24"/>
      <c r="E682" s="24"/>
      <c r="F682" s="24"/>
      <c r="G682" s="24"/>
      <c r="H682" s="24"/>
      <c r="I682" s="24"/>
      <c r="J682" s="24"/>
      <c r="K682" s="26"/>
      <c r="L682" s="26"/>
      <c r="M682" s="26"/>
      <c r="N682" s="79"/>
      <c r="O682" s="22"/>
      <c r="P682" s="22"/>
      <c r="Q682" s="91"/>
      <c r="R682" s="88"/>
    </row>
    <row r="683" spans="1:18" x14ac:dyDescent="0.2">
      <c r="A683" s="23"/>
      <c r="B683" s="97"/>
      <c r="C683" s="97"/>
      <c r="D683" s="24"/>
      <c r="E683" s="24"/>
      <c r="F683" s="24"/>
      <c r="G683" s="24"/>
      <c r="H683" s="24"/>
      <c r="I683" s="24"/>
      <c r="J683" s="24"/>
      <c r="K683" s="26"/>
      <c r="L683" s="26"/>
      <c r="M683" s="26"/>
      <c r="N683" s="79"/>
      <c r="O683" s="22"/>
      <c r="P683" s="22"/>
      <c r="Q683" s="91"/>
      <c r="R683" s="88"/>
    </row>
    <row r="684" spans="1:18" x14ac:dyDescent="0.2">
      <c r="A684" s="23"/>
      <c r="B684" s="97"/>
      <c r="C684" s="97"/>
      <c r="D684" s="24"/>
      <c r="E684" s="24"/>
      <c r="F684" s="24"/>
      <c r="G684" s="24"/>
      <c r="H684" s="24"/>
      <c r="I684" s="24"/>
      <c r="J684" s="24"/>
      <c r="K684" s="26"/>
      <c r="L684" s="26"/>
      <c r="M684" s="26"/>
      <c r="N684" s="79"/>
      <c r="O684" s="22"/>
      <c r="P684" s="22"/>
      <c r="Q684" s="91"/>
      <c r="R684" s="88"/>
    </row>
    <row r="685" spans="1:18" x14ac:dyDescent="0.2">
      <c r="A685" s="23"/>
      <c r="B685" s="97"/>
      <c r="C685" s="97"/>
      <c r="D685" s="24"/>
      <c r="E685" s="24"/>
      <c r="F685" s="24"/>
      <c r="G685" s="24"/>
      <c r="H685" s="24"/>
      <c r="I685" s="24"/>
      <c r="J685" s="24"/>
      <c r="K685" s="26"/>
      <c r="L685" s="26"/>
      <c r="M685" s="26"/>
      <c r="N685" s="79"/>
      <c r="O685" s="22"/>
      <c r="P685" s="22"/>
      <c r="Q685" s="91"/>
      <c r="R685" s="88"/>
    </row>
    <row r="686" spans="1:18" x14ac:dyDescent="0.2">
      <c r="A686" s="23"/>
      <c r="B686" s="97"/>
      <c r="C686" s="97"/>
      <c r="D686" s="24"/>
      <c r="E686" s="24"/>
      <c r="F686" s="24"/>
      <c r="G686" s="24"/>
      <c r="H686" s="24"/>
      <c r="I686" s="24"/>
      <c r="J686" s="24"/>
      <c r="K686" s="26"/>
      <c r="L686" s="26"/>
      <c r="M686" s="26"/>
      <c r="N686" s="79"/>
      <c r="O686" s="22"/>
      <c r="P686" s="22"/>
      <c r="Q686" s="91"/>
      <c r="R686" s="88"/>
    </row>
    <row r="687" spans="1:18" x14ac:dyDescent="0.2">
      <c r="A687" s="23"/>
      <c r="B687" s="97"/>
      <c r="C687" s="97"/>
      <c r="D687" s="24"/>
      <c r="E687" s="24"/>
      <c r="F687" s="24"/>
      <c r="G687" s="24"/>
      <c r="H687" s="24"/>
      <c r="I687" s="24"/>
      <c r="J687" s="24"/>
      <c r="K687" s="26"/>
      <c r="L687" s="26"/>
      <c r="M687" s="26"/>
      <c r="N687" s="79"/>
      <c r="O687" s="22"/>
      <c r="P687" s="22"/>
      <c r="Q687" s="91"/>
      <c r="R687" s="88"/>
    </row>
    <row r="688" spans="1:18" x14ac:dyDescent="0.2">
      <c r="A688" s="23"/>
      <c r="B688" s="97"/>
      <c r="C688" s="97"/>
      <c r="D688" s="24"/>
      <c r="E688" s="24"/>
      <c r="F688" s="24"/>
      <c r="G688" s="24"/>
      <c r="H688" s="24"/>
      <c r="I688" s="24"/>
      <c r="J688" s="24"/>
      <c r="K688" s="26"/>
      <c r="L688" s="26"/>
      <c r="M688" s="26"/>
      <c r="N688" s="79"/>
      <c r="O688" s="22"/>
      <c r="P688" s="22"/>
      <c r="Q688" s="91"/>
      <c r="R688" s="88"/>
    </row>
    <row r="689" spans="1:18" x14ac:dyDescent="0.2">
      <c r="A689" s="23"/>
      <c r="B689" s="97"/>
      <c r="C689" s="97"/>
      <c r="D689" s="24"/>
      <c r="E689" s="24"/>
      <c r="F689" s="24"/>
      <c r="G689" s="24"/>
      <c r="H689" s="24"/>
      <c r="I689" s="24"/>
      <c r="J689" s="24"/>
      <c r="K689" s="26"/>
      <c r="L689" s="26"/>
      <c r="M689" s="26"/>
      <c r="N689" s="79"/>
      <c r="O689" s="22"/>
      <c r="P689" s="22"/>
      <c r="Q689" s="91"/>
      <c r="R689" s="88"/>
    </row>
    <row r="690" spans="1:18" x14ac:dyDescent="0.2">
      <c r="A690" s="23"/>
      <c r="B690" s="97"/>
      <c r="C690" s="97"/>
      <c r="D690" s="24"/>
      <c r="E690" s="24"/>
      <c r="F690" s="24"/>
      <c r="G690" s="24"/>
      <c r="H690" s="24"/>
      <c r="I690" s="24"/>
      <c r="J690" s="24"/>
      <c r="K690" s="26"/>
      <c r="L690" s="26"/>
      <c r="M690" s="26"/>
      <c r="N690" s="79"/>
      <c r="O690" s="22"/>
      <c r="P690" s="22"/>
      <c r="Q690" s="91"/>
      <c r="R690" s="88"/>
    </row>
    <row r="691" spans="1:18" x14ac:dyDescent="0.2">
      <c r="A691" s="23"/>
      <c r="B691" s="97"/>
      <c r="C691" s="97"/>
      <c r="D691" s="24"/>
      <c r="E691" s="24"/>
      <c r="F691" s="24"/>
      <c r="G691" s="24"/>
      <c r="H691" s="24"/>
      <c r="I691" s="24"/>
      <c r="J691" s="24"/>
      <c r="K691" s="26"/>
      <c r="L691" s="26"/>
      <c r="M691" s="26"/>
      <c r="N691" s="79"/>
      <c r="O691" s="22"/>
      <c r="P691" s="22"/>
      <c r="Q691" s="91"/>
      <c r="R691" s="88"/>
    </row>
    <row r="692" spans="1:18" x14ac:dyDescent="0.2">
      <c r="A692" s="23"/>
      <c r="B692" s="97"/>
      <c r="C692" s="97"/>
      <c r="D692" s="24"/>
      <c r="E692" s="24"/>
      <c r="F692" s="24"/>
      <c r="G692" s="24"/>
      <c r="H692" s="24"/>
      <c r="I692" s="24"/>
      <c r="J692" s="24"/>
      <c r="K692" s="26"/>
      <c r="L692" s="26"/>
      <c r="M692" s="26"/>
      <c r="N692" s="79"/>
      <c r="O692" s="22"/>
      <c r="P692" s="22"/>
      <c r="Q692" s="91"/>
      <c r="R692" s="88"/>
    </row>
    <row r="693" spans="1:18" x14ac:dyDescent="0.2">
      <c r="A693" s="23"/>
      <c r="B693" s="97"/>
      <c r="C693" s="97"/>
      <c r="D693" s="24"/>
      <c r="E693" s="24"/>
      <c r="F693" s="24"/>
      <c r="G693" s="24"/>
      <c r="H693" s="24"/>
      <c r="I693" s="24"/>
      <c r="J693" s="24"/>
      <c r="K693" s="26"/>
      <c r="L693" s="26"/>
      <c r="M693" s="26"/>
      <c r="N693" s="79"/>
      <c r="O693" s="22"/>
      <c r="P693" s="22"/>
      <c r="Q693" s="91"/>
      <c r="R693" s="88"/>
    </row>
    <row r="694" spans="1:18" x14ac:dyDescent="0.2">
      <c r="A694" s="23"/>
      <c r="B694" s="97"/>
      <c r="C694" s="97"/>
      <c r="D694" s="24"/>
      <c r="E694" s="24"/>
      <c r="F694" s="24"/>
      <c r="G694" s="24"/>
      <c r="H694" s="24"/>
      <c r="I694" s="24"/>
      <c r="J694" s="24"/>
      <c r="K694" s="26"/>
      <c r="L694" s="26"/>
      <c r="M694" s="26"/>
      <c r="N694" s="79"/>
      <c r="O694" s="22"/>
      <c r="P694" s="22"/>
      <c r="Q694" s="91"/>
      <c r="R694" s="88"/>
    </row>
    <row r="695" spans="1:18" x14ac:dyDescent="0.2">
      <c r="A695" s="23"/>
      <c r="B695" s="97"/>
      <c r="C695" s="97"/>
      <c r="D695" s="24"/>
      <c r="E695" s="24"/>
      <c r="F695" s="24"/>
      <c r="G695" s="24"/>
      <c r="H695" s="24"/>
      <c r="I695" s="24"/>
      <c r="J695" s="24"/>
      <c r="K695" s="36"/>
      <c r="L695" s="26"/>
      <c r="M695" s="36"/>
      <c r="N695" s="79"/>
      <c r="O695" s="36"/>
      <c r="P695" s="36"/>
      <c r="Q695" s="91"/>
      <c r="R695" s="88"/>
    </row>
    <row r="696" spans="1:18" x14ac:dyDescent="0.2">
      <c r="A696" s="23"/>
      <c r="B696" s="97"/>
      <c r="C696" s="97"/>
      <c r="D696" s="24"/>
      <c r="E696" s="24"/>
      <c r="F696" s="24"/>
      <c r="G696" s="24"/>
      <c r="H696" s="24"/>
      <c r="I696" s="24"/>
      <c r="J696" s="24"/>
      <c r="K696" s="26"/>
      <c r="L696" s="26"/>
      <c r="M696" s="26"/>
      <c r="N696" s="79"/>
      <c r="O696" s="22"/>
      <c r="P696" s="22"/>
      <c r="Q696" s="91"/>
      <c r="R696" s="88"/>
    </row>
    <row r="697" spans="1:18" x14ac:dyDescent="0.2">
      <c r="A697" s="23"/>
      <c r="B697" s="97"/>
      <c r="C697" s="97"/>
      <c r="D697" s="24"/>
      <c r="E697" s="24"/>
      <c r="F697" s="24"/>
      <c r="G697" s="24"/>
      <c r="H697" s="24"/>
      <c r="I697" s="24"/>
      <c r="J697" s="24"/>
      <c r="K697" s="26"/>
      <c r="L697" s="26"/>
      <c r="M697" s="26"/>
      <c r="N697" s="79"/>
      <c r="O697" s="22"/>
      <c r="P697" s="22"/>
      <c r="Q697" s="91"/>
      <c r="R697" s="88"/>
    </row>
    <row r="698" spans="1:18" x14ac:dyDescent="0.2">
      <c r="A698" s="23"/>
      <c r="B698" s="97"/>
      <c r="C698" s="97"/>
      <c r="D698" s="24"/>
      <c r="E698" s="24"/>
      <c r="F698" s="24"/>
      <c r="G698" s="24"/>
      <c r="H698" s="24"/>
      <c r="I698" s="24"/>
      <c r="J698" s="24"/>
      <c r="K698" s="26"/>
      <c r="L698" s="26"/>
      <c r="M698" s="26"/>
      <c r="N698" s="79"/>
      <c r="O698" s="22"/>
      <c r="P698" s="22"/>
      <c r="Q698" s="91"/>
      <c r="R698" s="88"/>
    </row>
    <row r="699" spans="1:18" x14ac:dyDescent="0.2">
      <c r="A699" s="23"/>
      <c r="B699" s="97"/>
      <c r="C699" s="97"/>
      <c r="D699" s="24"/>
      <c r="E699" s="24"/>
      <c r="F699" s="24"/>
      <c r="G699" s="24"/>
      <c r="H699" s="24"/>
      <c r="I699" s="24"/>
      <c r="J699" s="24"/>
      <c r="K699" s="26"/>
      <c r="L699" s="26"/>
      <c r="M699" s="26"/>
      <c r="N699" s="79"/>
      <c r="O699" s="22"/>
      <c r="P699" s="22"/>
      <c r="Q699" s="91"/>
      <c r="R699" s="88"/>
    </row>
    <row r="700" spans="1:18" x14ac:dyDescent="0.2">
      <c r="A700" s="23"/>
      <c r="B700" s="97"/>
      <c r="C700" s="97"/>
      <c r="D700" s="24"/>
      <c r="E700" s="24"/>
      <c r="F700" s="24"/>
      <c r="G700" s="24"/>
      <c r="H700" s="24"/>
      <c r="I700" s="24"/>
      <c r="J700" s="24"/>
      <c r="K700" s="26"/>
      <c r="L700" s="26"/>
      <c r="M700" s="26"/>
      <c r="N700" s="79"/>
      <c r="O700" s="22"/>
      <c r="P700" s="22"/>
      <c r="Q700" s="91"/>
      <c r="R700" s="88"/>
    </row>
    <row r="701" spans="1:18" x14ac:dyDescent="0.2">
      <c r="A701" s="23"/>
      <c r="B701" s="97"/>
      <c r="C701" s="97"/>
      <c r="D701" s="24"/>
      <c r="E701" s="24"/>
      <c r="F701" s="24"/>
      <c r="G701" s="24"/>
      <c r="H701" s="24"/>
      <c r="I701" s="24"/>
      <c r="J701" s="24"/>
      <c r="K701" s="36"/>
      <c r="L701" s="36"/>
      <c r="M701" s="26"/>
      <c r="N701" s="80"/>
      <c r="O701" s="81"/>
      <c r="P701" s="81"/>
      <c r="Q701" s="92"/>
      <c r="R701" s="89"/>
    </row>
    <row r="702" spans="1:18" x14ac:dyDescent="0.2">
      <c r="A702" s="23"/>
      <c r="B702" s="97"/>
      <c r="C702" s="97"/>
      <c r="D702" s="24"/>
      <c r="E702" s="24"/>
      <c r="F702" s="24"/>
      <c r="G702" s="24"/>
      <c r="H702" s="24"/>
      <c r="I702" s="24"/>
      <c r="J702" s="24"/>
      <c r="K702" s="26"/>
      <c r="L702" s="26"/>
      <c r="M702" s="26"/>
      <c r="N702" s="79"/>
      <c r="O702" s="22"/>
      <c r="P702" s="22"/>
      <c r="Q702" s="91"/>
      <c r="R702" s="88"/>
    </row>
    <row r="703" spans="1:18" x14ac:dyDescent="0.2">
      <c r="A703" s="23"/>
      <c r="B703" s="97"/>
      <c r="C703" s="97"/>
      <c r="D703" s="24"/>
      <c r="E703" s="24"/>
      <c r="F703" s="24"/>
      <c r="G703" s="24"/>
      <c r="H703" s="24"/>
      <c r="I703" s="24"/>
      <c r="J703" s="24"/>
      <c r="K703" s="26"/>
      <c r="L703" s="26"/>
      <c r="M703" s="26"/>
      <c r="N703" s="79"/>
      <c r="O703" s="22"/>
      <c r="P703" s="22"/>
      <c r="Q703" s="91"/>
      <c r="R703" s="88"/>
    </row>
    <row r="704" spans="1:18" x14ac:dyDescent="0.2">
      <c r="A704" s="23"/>
      <c r="B704" s="97"/>
      <c r="C704" s="97"/>
      <c r="D704" s="24"/>
      <c r="E704" s="24"/>
      <c r="F704" s="24"/>
      <c r="G704" s="24"/>
      <c r="H704" s="24"/>
      <c r="I704" s="24"/>
      <c r="J704" s="24"/>
      <c r="K704" s="26"/>
      <c r="L704" s="26"/>
      <c r="M704" s="26"/>
      <c r="N704" s="79"/>
      <c r="O704" s="22"/>
      <c r="P704" s="22"/>
      <c r="Q704" s="91"/>
      <c r="R704" s="88"/>
    </row>
    <row r="705" spans="1:18" x14ac:dyDescent="0.2">
      <c r="A705" s="23"/>
      <c r="B705" s="97"/>
      <c r="C705" s="97"/>
      <c r="D705" s="24"/>
      <c r="E705" s="24"/>
      <c r="F705" s="24"/>
      <c r="G705" s="24"/>
      <c r="H705" s="24"/>
      <c r="I705" s="24"/>
      <c r="J705" s="24"/>
      <c r="K705" s="26"/>
      <c r="L705" s="26"/>
      <c r="M705" s="26"/>
      <c r="N705" s="79"/>
      <c r="O705" s="22"/>
      <c r="P705" s="22"/>
      <c r="Q705" s="91"/>
      <c r="R705" s="88"/>
    </row>
    <row r="706" spans="1:18" x14ac:dyDescent="0.2">
      <c r="A706" s="23"/>
      <c r="B706" s="97"/>
      <c r="C706" s="97"/>
      <c r="D706" s="24"/>
      <c r="E706" s="24"/>
      <c r="F706" s="24"/>
      <c r="G706" s="24"/>
      <c r="H706" s="24"/>
      <c r="I706" s="24"/>
      <c r="J706" s="24"/>
      <c r="K706" s="26"/>
      <c r="L706" s="26"/>
      <c r="M706" s="26"/>
      <c r="N706" s="79"/>
      <c r="O706" s="22"/>
      <c r="P706" s="22"/>
      <c r="Q706" s="91"/>
      <c r="R706" s="88"/>
    </row>
    <row r="707" spans="1:18" x14ac:dyDescent="0.2">
      <c r="A707" s="23"/>
      <c r="B707" s="97"/>
      <c r="C707" s="97"/>
      <c r="D707" s="24"/>
      <c r="E707" s="24"/>
      <c r="F707" s="24"/>
      <c r="G707" s="24"/>
      <c r="H707" s="24"/>
      <c r="I707" s="24"/>
      <c r="J707" s="24"/>
      <c r="K707" s="26"/>
      <c r="L707" s="26"/>
      <c r="M707" s="26"/>
      <c r="N707" s="79"/>
      <c r="O707" s="22"/>
      <c r="P707" s="22"/>
      <c r="Q707" s="91"/>
      <c r="R707" s="88"/>
    </row>
    <row r="708" spans="1:18" x14ac:dyDescent="0.2">
      <c r="A708" s="23"/>
      <c r="B708" s="97"/>
      <c r="C708" s="97"/>
      <c r="D708" s="24"/>
      <c r="E708" s="24"/>
      <c r="F708" s="24"/>
      <c r="G708" s="24"/>
      <c r="H708" s="24"/>
      <c r="I708" s="24"/>
      <c r="J708" s="24"/>
      <c r="K708" s="26"/>
      <c r="L708" s="26"/>
      <c r="M708" s="26"/>
      <c r="N708" s="79"/>
      <c r="O708" s="22"/>
      <c r="P708" s="22"/>
      <c r="Q708" s="91"/>
      <c r="R708" s="88"/>
    </row>
    <row r="709" spans="1:18" x14ac:dyDescent="0.2">
      <c r="A709" s="23"/>
      <c r="B709" s="97"/>
      <c r="C709" s="97"/>
      <c r="D709" s="24"/>
      <c r="E709" s="24"/>
      <c r="F709" s="24"/>
      <c r="G709" s="24"/>
      <c r="H709" s="24"/>
      <c r="I709" s="24"/>
      <c r="J709" s="24"/>
      <c r="K709" s="26"/>
      <c r="L709" s="26"/>
      <c r="M709" s="26"/>
      <c r="N709" s="79"/>
      <c r="O709" s="22"/>
      <c r="P709" s="22"/>
      <c r="Q709" s="91"/>
      <c r="R709" s="88"/>
    </row>
    <row r="710" spans="1:18" x14ac:dyDescent="0.2">
      <c r="A710" s="23"/>
      <c r="B710" s="97"/>
      <c r="C710" s="97"/>
      <c r="D710" s="24"/>
      <c r="E710" s="24"/>
      <c r="F710" s="24"/>
      <c r="G710" s="24"/>
      <c r="H710" s="24"/>
      <c r="I710" s="24"/>
      <c r="J710" s="24"/>
      <c r="K710" s="26"/>
      <c r="L710" s="26"/>
      <c r="M710" s="26"/>
      <c r="N710" s="79"/>
      <c r="O710" s="22"/>
      <c r="P710" s="22"/>
      <c r="Q710" s="91"/>
      <c r="R710" s="88"/>
    </row>
    <row r="711" spans="1:18" x14ac:dyDescent="0.2">
      <c r="A711" s="23"/>
      <c r="B711" s="97"/>
      <c r="C711" s="97"/>
      <c r="D711" s="24"/>
      <c r="E711" s="24"/>
      <c r="F711" s="24"/>
      <c r="G711" s="24"/>
      <c r="H711" s="24"/>
      <c r="I711" s="24"/>
      <c r="J711" s="24"/>
      <c r="K711" s="26"/>
      <c r="L711" s="26"/>
      <c r="M711" s="26"/>
      <c r="N711" s="79"/>
      <c r="O711" s="22"/>
      <c r="P711" s="22"/>
      <c r="Q711" s="91"/>
      <c r="R711" s="88"/>
    </row>
    <row r="712" spans="1:18" x14ac:dyDescent="0.2">
      <c r="A712" s="23"/>
      <c r="B712" s="97"/>
      <c r="C712" s="97"/>
      <c r="D712" s="24"/>
      <c r="E712" s="24"/>
      <c r="F712" s="24"/>
      <c r="G712" s="24"/>
      <c r="H712" s="24"/>
      <c r="I712" s="24"/>
      <c r="J712" s="24"/>
      <c r="K712" s="26"/>
      <c r="L712" s="26"/>
      <c r="M712" s="26"/>
      <c r="N712" s="79"/>
      <c r="O712" s="22"/>
      <c r="P712" s="22"/>
      <c r="Q712" s="91"/>
      <c r="R712" s="88"/>
    </row>
    <row r="713" spans="1:18" x14ac:dyDescent="0.2">
      <c r="A713" s="23"/>
      <c r="B713" s="97"/>
      <c r="C713" s="97"/>
      <c r="D713" s="24"/>
      <c r="E713" s="24"/>
      <c r="F713" s="24"/>
      <c r="G713" s="24"/>
      <c r="H713" s="24"/>
      <c r="I713" s="24"/>
      <c r="J713" s="24"/>
      <c r="K713" s="26"/>
      <c r="L713" s="26"/>
      <c r="M713" s="26"/>
      <c r="N713" s="79"/>
      <c r="O713" s="22"/>
      <c r="P713" s="22"/>
      <c r="Q713" s="91"/>
      <c r="R713" s="88"/>
    </row>
    <row r="714" spans="1:18" x14ac:dyDescent="0.2">
      <c r="A714" s="23"/>
      <c r="B714" s="97"/>
      <c r="C714" s="97"/>
      <c r="D714" s="24"/>
      <c r="E714" s="24"/>
      <c r="F714" s="24"/>
      <c r="G714" s="24"/>
      <c r="H714" s="24"/>
      <c r="I714" s="24"/>
      <c r="J714" s="24"/>
      <c r="K714" s="26"/>
      <c r="L714" s="26"/>
      <c r="M714" s="26"/>
      <c r="N714" s="79"/>
      <c r="O714" s="22"/>
      <c r="P714" s="22"/>
      <c r="Q714" s="91"/>
      <c r="R714" s="88"/>
    </row>
    <row r="715" spans="1:18" x14ac:dyDescent="0.2">
      <c r="A715" s="23"/>
      <c r="B715" s="97"/>
      <c r="C715" s="97"/>
      <c r="D715" s="24"/>
      <c r="E715" s="24"/>
      <c r="F715" s="24"/>
      <c r="G715" s="24"/>
      <c r="H715" s="24"/>
      <c r="I715" s="24"/>
      <c r="J715" s="24"/>
      <c r="K715" s="26"/>
      <c r="L715" s="26"/>
      <c r="M715" s="26"/>
      <c r="N715" s="79"/>
      <c r="O715" s="22"/>
      <c r="P715" s="22"/>
      <c r="Q715" s="91"/>
      <c r="R715" s="88"/>
    </row>
    <row r="716" spans="1:18" x14ac:dyDescent="0.2">
      <c r="A716" s="23"/>
      <c r="B716" s="97"/>
      <c r="C716" s="97"/>
      <c r="D716" s="24"/>
      <c r="E716" s="24"/>
      <c r="F716" s="24"/>
      <c r="G716" s="24"/>
      <c r="H716" s="24"/>
      <c r="I716" s="24"/>
      <c r="J716" s="24"/>
      <c r="K716" s="26"/>
      <c r="L716" s="26"/>
      <c r="M716" s="26"/>
      <c r="N716" s="79"/>
      <c r="O716" s="22"/>
      <c r="P716" s="22"/>
      <c r="Q716" s="91"/>
      <c r="R716" s="88"/>
    </row>
    <row r="717" spans="1:18" x14ac:dyDescent="0.2">
      <c r="A717" s="23"/>
      <c r="B717" s="97"/>
      <c r="C717" s="97"/>
      <c r="D717" s="24"/>
      <c r="E717" s="24"/>
      <c r="F717" s="24"/>
      <c r="G717" s="24"/>
      <c r="H717" s="24"/>
      <c r="I717" s="24"/>
      <c r="J717" s="24"/>
      <c r="K717" s="26"/>
      <c r="L717" s="26"/>
      <c r="M717" s="26"/>
      <c r="N717" s="79"/>
      <c r="O717" s="22"/>
      <c r="P717" s="22"/>
      <c r="Q717" s="91"/>
      <c r="R717" s="88"/>
    </row>
    <row r="718" spans="1:18" x14ac:dyDescent="0.2">
      <c r="A718" s="23"/>
      <c r="B718" s="97"/>
      <c r="C718" s="97"/>
      <c r="D718" s="24"/>
      <c r="E718" s="24"/>
      <c r="F718" s="24"/>
      <c r="G718" s="24"/>
      <c r="H718" s="24"/>
      <c r="I718" s="24"/>
      <c r="J718" s="24"/>
      <c r="K718" s="36"/>
      <c r="L718" s="26"/>
      <c r="M718" s="36"/>
      <c r="N718" s="80"/>
      <c r="O718" s="81"/>
      <c r="P718" s="81"/>
      <c r="Q718" s="92"/>
      <c r="R718" s="89"/>
    </row>
    <row r="719" spans="1:18" x14ac:dyDescent="0.2">
      <c r="A719" s="23"/>
      <c r="B719" s="97"/>
      <c r="C719" s="97"/>
      <c r="D719" s="24"/>
      <c r="E719" s="24"/>
      <c r="F719" s="24"/>
      <c r="G719" s="24"/>
      <c r="H719" s="24"/>
      <c r="I719" s="24"/>
      <c r="J719" s="24"/>
      <c r="K719" s="26"/>
      <c r="L719" s="26"/>
      <c r="M719" s="26"/>
      <c r="N719" s="79"/>
      <c r="O719" s="22"/>
      <c r="P719" s="22"/>
      <c r="Q719" s="91"/>
      <c r="R719" s="88"/>
    </row>
    <row r="720" spans="1:18" x14ac:dyDescent="0.2">
      <c r="A720" s="23"/>
      <c r="B720" s="97"/>
      <c r="C720" s="97"/>
      <c r="D720" s="24"/>
      <c r="E720" s="24"/>
      <c r="F720" s="24"/>
      <c r="G720" s="24"/>
      <c r="H720" s="24"/>
      <c r="I720" s="24"/>
      <c r="J720" s="24"/>
      <c r="K720" s="26"/>
      <c r="L720" s="26"/>
      <c r="M720" s="26"/>
      <c r="N720" s="79"/>
      <c r="O720" s="22"/>
      <c r="P720" s="22"/>
      <c r="Q720" s="91"/>
      <c r="R720" s="88"/>
    </row>
    <row r="721" spans="1:18" x14ac:dyDescent="0.2">
      <c r="A721" s="23"/>
      <c r="B721" s="97"/>
      <c r="C721" s="97"/>
      <c r="D721" s="24"/>
      <c r="E721" s="24"/>
      <c r="F721" s="24"/>
      <c r="G721" s="24"/>
      <c r="H721" s="24"/>
      <c r="I721" s="24"/>
      <c r="J721" s="24"/>
      <c r="K721" s="26"/>
      <c r="L721" s="26"/>
      <c r="M721" s="26"/>
      <c r="N721" s="79"/>
      <c r="O721" s="22"/>
      <c r="P721" s="22"/>
      <c r="Q721" s="91"/>
      <c r="R721" s="88"/>
    </row>
    <row r="722" spans="1:18" x14ac:dyDescent="0.2">
      <c r="A722" s="23"/>
      <c r="B722" s="97"/>
      <c r="C722" s="97"/>
      <c r="D722" s="24"/>
      <c r="E722" s="24"/>
      <c r="F722" s="24"/>
      <c r="G722" s="24"/>
      <c r="H722" s="24"/>
      <c r="I722" s="24"/>
      <c r="J722" s="24"/>
      <c r="K722" s="26"/>
      <c r="L722" s="26"/>
      <c r="M722" s="26"/>
      <c r="N722" s="79"/>
      <c r="O722" s="22"/>
      <c r="P722" s="22"/>
      <c r="Q722" s="91"/>
      <c r="R722" s="88"/>
    </row>
    <row r="723" spans="1:18" x14ac:dyDescent="0.2">
      <c r="A723" s="23"/>
      <c r="B723" s="97"/>
      <c r="C723" s="97"/>
      <c r="D723" s="24"/>
      <c r="E723" s="24"/>
      <c r="F723" s="24"/>
      <c r="G723" s="24"/>
      <c r="H723" s="24"/>
      <c r="I723" s="24"/>
      <c r="J723" s="24"/>
      <c r="K723" s="26"/>
      <c r="L723" s="26"/>
      <c r="M723" s="26"/>
      <c r="N723" s="79"/>
      <c r="O723" s="22"/>
      <c r="P723" s="22"/>
      <c r="Q723" s="91"/>
      <c r="R723" s="88"/>
    </row>
    <row r="724" spans="1:18" x14ac:dyDescent="0.2">
      <c r="A724" s="23"/>
      <c r="B724" s="97"/>
      <c r="C724" s="97"/>
      <c r="D724" s="24"/>
      <c r="E724" s="24"/>
      <c r="F724" s="24"/>
      <c r="G724" s="24"/>
      <c r="H724" s="24"/>
      <c r="I724" s="24"/>
      <c r="J724" s="24"/>
      <c r="K724" s="26"/>
      <c r="L724" s="26"/>
      <c r="M724" s="26"/>
      <c r="N724" s="79"/>
      <c r="O724" s="22"/>
      <c r="P724" s="22"/>
      <c r="Q724" s="91"/>
      <c r="R724" s="88"/>
    </row>
    <row r="725" spans="1:18" x14ac:dyDescent="0.2">
      <c r="A725" s="23"/>
      <c r="B725" s="97"/>
      <c r="C725" s="97"/>
      <c r="D725" s="24"/>
      <c r="E725" s="24"/>
      <c r="F725" s="24"/>
      <c r="G725" s="24"/>
      <c r="H725" s="24"/>
      <c r="I725" s="24"/>
      <c r="J725" s="24"/>
      <c r="K725" s="26"/>
      <c r="L725" s="26"/>
      <c r="M725" s="26"/>
      <c r="N725" s="79"/>
      <c r="O725" s="22"/>
      <c r="P725" s="22"/>
      <c r="Q725" s="91"/>
      <c r="R725" s="88"/>
    </row>
    <row r="726" spans="1:18" x14ac:dyDescent="0.2">
      <c r="A726" s="23"/>
      <c r="B726" s="97"/>
      <c r="C726" s="97"/>
      <c r="D726" s="24"/>
      <c r="E726" s="24"/>
      <c r="F726" s="24"/>
      <c r="G726" s="24"/>
      <c r="H726" s="24"/>
      <c r="I726" s="24"/>
      <c r="J726" s="24"/>
      <c r="K726" s="26"/>
      <c r="L726" s="26"/>
      <c r="M726" s="26"/>
      <c r="N726" s="79"/>
      <c r="O726" s="22"/>
      <c r="P726" s="22"/>
      <c r="Q726" s="91"/>
      <c r="R726" s="88"/>
    </row>
    <row r="727" spans="1:18" x14ac:dyDescent="0.2">
      <c r="A727" s="23"/>
      <c r="B727" s="97"/>
      <c r="C727" s="97"/>
      <c r="D727" s="24"/>
      <c r="E727" s="24"/>
      <c r="F727" s="24"/>
      <c r="G727" s="24"/>
      <c r="H727" s="24"/>
      <c r="I727" s="24"/>
      <c r="J727" s="24"/>
      <c r="K727" s="26"/>
      <c r="L727" s="26"/>
      <c r="M727" s="26"/>
      <c r="N727" s="79"/>
      <c r="O727" s="22"/>
      <c r="P727" s="22"/>
      <c r="Q727" s="91"/>
      <c r="R727" s="88"/>
    </row>
    <row r="728" spans="1:18" x14ac:dyDescent="0.2">
      <c r="A728" s="23"/>
      <c r="B728" s="97"/>
      <c r="C728" s="97"/>
      <c r="D728" s="24"/>
      <c r="E728" s="24"/>
      <c r="F728" s="24"/>
      <c r="G728" s="24"/>
      <c r="H728" s="24"/>
      <c r="I728" s="24"/>
      <c r="J728" s="24"/>
      <c r="K728" s="26"/>
      <c r="L728" s="26"/>
      <c r="M728" s="26"/>
      <c r="N728" s="79"/>
      <c r="O728" s="22"/>
      <c r="P728" s="22"/>
      <c r="Q728" s="91"/>
      <c r="R728" s="88"/>
    </row>
    <row r="729" spans="1:18" x14ac:dyDescent="0.2">
      <c r="A729" s="23"/>
      <c r="B729" s="97"/>
      <c r="C729" s="97"/>
      <c r="D729" s="24"/>
      <c r="E729" s="24"/>
      <c r="F729" s="24"/>
      <c r="G729" s="24"/>
      <c r="H729" s="24"/>
      <c r="I729" s="24"/>
      <c r="J729" s="24"/>
      <c r="K729" s="26"/>
      <c r="L729" s="26"/>
      <c r="M729" s="26"/>
      <c r="N729" s="79"/>
      <c r="O729" s="22"/>
      <c r="P729" s="22"/>
      <c r="Q729" s="91"/>
      <c r="R729" s="88"/>
    </row>
    <row r="730" spans="1:18" x14ac:dyDescent="0.2">
      <c r="A730" s="23"/>
      <c r="B730" s="97"/>
      <c r="C730" s="97"/>
      <c r="D730" s="24"/>
      <c r="E730" s="24"/>
      <c r="F730" s="24"/>
      <c r="G730" s="24"/>
      <c r="H730" s="24"/>
      <c r="I730" s="24"/>
      <c r="J730" s="24"/>
      <c r="K730" s="26"/>
      <c r="L730" s="26"/>
      <c r="M730" s="26"/>
      <c r="N730" s="79"/>
      <c r="O730" s="22"/>
      <c r="P730" s="22"/>
      <c r="Q730" s="91"/>
      <c r="R730" s="88"/>
    </row>
    <row r="731" spans="1:18" x14ac:dyDescent="0.2">
      <c r="A731" s="23"/>
      <c r="B731" s="97"/>
      <c r="C731" s="97"/>
      <c r="D731" s="24"/>
      <c r="E731" s="24"/>
      <c r="F731" s="24"/>
      <c r="G731" s="24"/>
      <c r="H731" s="24"/>
      <c r="I731" s="24"/>
      <c r="J731" s="24"/>
      <c r="K731" s="26"/>
      <c r="L731" s="26"/>
      <c r="M731" s="26"/>
      <c r="N731" s="79"/>
      <c r="O731" s="22"/>
      <c r="P731" s="22"/>
      <c r="Q731" s="91"/>
      <c r="R731" s="88"/>
    </row>
    <row r="732" spans="1:18" x14ac:dyDescent="0.2">
      <c r="A732" s="23"/>
      <c r="B732" s="97"/>
      <c r="C732" s="97"/>
      <c r="D732" s="24"/>
      <c r="E732" s="24"/>
      <c r="F732" s="24"/>
      <c r="G732" s="24"/>
      <c r="H732" s="24"/>
      <c r="I732" s="24"/>
      <c r="J732" s="24"/>
      <c r="K732" s="26"/>
      <c r="L732" s="26"/>
      <c r="M732" s="26"/>
      <c r="N732" s="79"/>
      <c r="O732" s="22"/>
      <c r="P732" s="22"/>
      <c r="Q732" s="91"/>
      <c r="R732" s="88"/>
    </row>
    <row r="733" spans="1:18" x14ac:dyDescent="0.2">
      <c r="A733" s="23"/>
      <c r="B733" s="97"/>
      <c r="C733" s="97"/>
      <c r="D733" s="24"/>
      <c r="E733" s="24"/>
      <c r="F733" s="24"/>
      <c r="G733" s="24"/>
      <c r="H733" s="24"/>
      <c r="I733" s="24"/>
      <c r="J733" s="24"/>
      <c r="K733" s="26"/>
      <c r="L733" s="26"/>
      <c r="M733" s="26"/>
      <c r="N733" s="79"/>
      <c r="O733" s="22"/>
      <c r="P733" s="22"/>
      <c r="Q733" s="91"/>
      <c r="R733" s="88"/>
    </row>
    <row r="734" spans="1:18" x14ac:dyDescent="0.2">
      <c r="A734" s="23"/>
      <c r="B734" s="97"/>
      <c r="C734" s="97"/>
      <c r="D734" s="24"/>
      <c r="E734" s="24"/>
      <c r="F734" s="24"/>
      <c r="G734" s="24"/>
      <c r="H734" s="24"/>
      <c r="I734" s="24"/>
      <c r="J734" s="24"/>
      <c r="K734" s="26"/>
      <c r="L734" s="26"/>
      <c r="M734" s="26"/>
      <c r="N734" s="79"/>
      <c r="O734" s="22"/>
      <c r="P734" s="22"/>
      <c r="Q734" s="91"/>
      <c r="R734" s="88"/>
    </row>
    <row r="735" spans="1:18" x14ac:dyDescent="0.2">
      <c r="A735" s="23"/>
      <c r="B735" s="97"/>
      <c r="C735" s="97"/>
      <c r="D735" s="24"/>
      <c r="E735" s="24"/>
      <c r="F735" s="24"/>
      <c r="G735" s="24"/>
      <c r="H735" s="24"/>
      <c r="I735" s="24"/>
      <c r="J735" s="24"/>
      <c r="K735" s="26"/>
      <c r="L735" s="26"/>
      <c r="M735" s="26"/>
      <c r="N735" s="79"/>
      <c r="O735" s="22"/>
      <c r="P735" s="22"/>
      <c r="Q735" s="91"/>
      <c r="R735" s="88"/>
    </row>
    <row r="736" spans="1:18" x14ac:dyDescent="0.2">
      <c r="A736" s="23"/>
      <c r="B736" s="97"/>
      <c r="C736" s="97"/>
      <c r="D736" s="24"/>
      <c r="E736" s="24"/>
      <c r="F736" s="24"/>
      <c r="G736" s="24"/>
      <c r="H736" s="24"/>
      <c r="I736" s="24"/>
      <c r="J736" s="24"/>
      <c r="K736" s="26"/>
      <c r="L736" s="26"/>
      <c r="M736" s="26"/>
      <c r="N736" s="79"/>
      <c r="O736" s="22"/>
      <c r="P736" s="22"/>
      <c r="Q736" s="91"/>
      <c r="R736" s="88"/>
    </row>
    <row r="737" spans="1:18" x14ac:dyDescent="0.2">
      <c r="A737" s="23"/>
      <c r="B737" s="97"/>
      <c r="C737" s="97"/>
      <c r="D737" s="24"/>
      <c r="E737" s="24"/>
      <c r="F737" s="24"/>
      <c r="G737" s="24"/>
      <c r="H737" s="24"/>
      <c r="I737" s="24"/>
      <c r="J737" s="24"/>
      <c r="K737" s="26"/>
      <c r="L737" s="26"/>
      <c r="M737" s="26"/>
      <c r="N737" s="79"/>
      <c r="O737" s="22"/>
      <c r="P737" s="22"/>
      <c r="Q737" s="91"/>
      <c r="R737" s="88"/>
    </row>
    <row r="738" spans="1:18" x14ac:dyDescent="0.2">
      <c r="A738" s="23"/>
      <c r="B738" s="97"/>
      <c r="C738" s="97"/>
      <c r="D738" s="24"/>
      <c r="E738" s="24"/>
      <c r="F738" s="24"/>
      <c r="G738" s="24"/>
      <c r="H738" s="24"/>
      <c r="I738" s="24"/>
      <c r="J738" s="24"/>
      <c r="K738" s="26"/>
      <c r="L738" s="26"/>
      <c r="M738" s="26"/>
      <c r="N738" s="79"/>
      <c r="O738" s="22"/>
      <c r="P738" s="22"/>
      <c r="Q738" s="91"/>
      <c r="R738" s="88"/>
    </row>
    <row r="739" spans="1:18" x14ac:dyDescent="0.2">
      <c r="A739" s="23"/>
      <c r="B739" s="97"/>
      <c r="C739" s="97"/>
      <c r="D739" s="24"/>
      <c r="E739" s="24"/>
      <c r="F739" s="24"/>
      <c r="G739" s="24"/>
      <c r="H739" s="24"/>
      <c r="I739" s="24"/>
      <c r="J739" s="24"/>
      <c r="K739" s="26"/>
      <c r="L739" s="26"/>
      <c r="M739" s="26"/>
      <c r="N739" s="79"/>
      <c r="O739" s="22"/>
      <c r="P739" s="22"/>
      <c r="Q739" s="91"/>
      <c r="R739" s="88"/>
    </row>
    <row r="740" spans="1:18" x14ac:dyDescent="0.2">
      <c r="A740" s="23"/>
      <c r="B740" s="97"/>
      <c r="C740" s="97"/>
      <c r="D740" s="24"/>
      <c r="E740" s="24"/>
      <c r="F740" s="24"/>
      <c r="G740" s="24"/>
      <c r="H740" s="24"/>
      <c r="I740" s="24"/>
      <c r="J740" s="24"/>
      <c r="K740" s="36"/>
      <c r="L740" s="26"/>
      <c r="M740" s="36"/>
      <c r="N740" s="79"/>
      <c r="O740" s="81"/>
      <c r="P740" s="81"/>
      <c r="Q740" s="92"/>
      <c r="R740" s="89"/>
    </row>
    <row r="741" spans="1:18" x14ac:dyDescent="0.2">
      <c r="A741" s="23"/>
      <c r="B741" s="97"/>
      <c r="C741" s="97"/>
      <c r="D741" s="24"/>
      <c r="E741" s="24"/>
      <c r="F741" s="24"/>
      <c r="G741" s="24"/>
      <c r="H741" s="24"/>
      <c r="I741" s="24"/>
      <c r="J741" s="24"/>
      <c r="K741" s="26"/>
      <c r="L741" s="26"/>
      <c r="M741" s="26"/>
      <c r="N741" s="79"/>
      <c r="O741" s="22"/>
      <c r="P741" s="22"/>
      <c r="Q741" s="91"/>
      <c r="R741" s="88"/>
    </row>
    <row r="742" spans="1:18" x14ac:dyDescent="0.2">
      <c r="A742" s="23"/>
      <c r="B742" s="97"/>
      <c r="C742" s="97"/>
      <c r="D742" s="24"/>
      <c r="E742" s="24"/>
      <c r="F742" s="24"/>
      <c r="G742" s="24"/>
      <c r="H742" s="24"/>
      <c r="I742" s="24"/>
      <c r="J742" s="24"/>
      <c r="K742" s="26"/>
      <c r="L742" s="26"/>
      <c r="M742" s="26"/>
      <c r="N742" s="79"/>
      <c r="O742" s="22"/>
      <c r="P742" s="22"/>
      <c r="Q742" s="91"/>
      <c r="R742" s="88"/>
    </row>
    <row r="743" spans="1:18" x14ac:dyDescent="0.2">
      <c r="A743" s="23"/>
      <c r="B743" s="97"/>
      <c r="C743" s="97"/>
      <c r="D743" s="24"/>
      <c r="E743" s="24"/>
      <c r="F743" s="24"/>
      <c r="G743" s="24"/>
      <c r="H743" s="24"/>
      <c r="I743" s="24"/>
      <c r="J743" s="24"/>
      <c r="K743" s="26"/>
      <c r="L743" s="26"/>
      <c r="M743" s="26"/>
      <c r="N743" s="79"/>
      <c r="O743" s="22"/>
      <c r="P743" s="22"/>
      <c r="Q743" s="91"/>
      <c r="R743" s="88"/>
    </row>
    <row r="744" spans="1:18" x14ac:dyDescent="0.2">
      <c r="A744" s="23"/>
      <c r="B744" s="97"/>
      <c r="C744" s="97"/>
      <c r="D744" s="24"/>
      <c r="E744" s="24"/>
      <c r="F744" s="24"/>
      <c r="G744" s="24"/>
      <c r="H744" s="24"/>
      <c r="I744" s="24"/>
      <c r="J744" s="24"/>
      <c r="K744" s="26"/>
      <c r="L744" s="26"/>
      <c r="M744" s="26"/>
      <c r="N744" s="79"/>
      <c r="O744" s="22"/>
      <c r="P744" s="22"/>
      <c r="Q744" s="91"/>
      <c r="R744" s="88"/>
    </row>
    <row r="745" spans="1:18" x14ac:dyDescent="0.2">
      <c r="A745" s="23"/>
      <c r="B745" s="97"/>
      <c r="C745" s="97"/>
      <c r="D745" s="24"/>
      <c r="E745" s="24"/>
      <c r="F745" s="24"/>
      <c r="G745" s="24"/>
      <c r="H745" s="24"/>
      <c r="I745" s="24"/>
      <c r="J745" s="24"/>
      <c r="K745" s="26"/>
      <c r="L745" s="26"/>
      <c r="M745" s="26"/>
      <c r="N745" s="79"/>
      <c r="O745" s="22"/>
      <c r="P745" s="22"/>
      <c r="Q745" s="91"/>
      <c r="R745" s="88"/>
    </row>
    <row r="746" spans="1:18" x14ac:dyDescent="0.2">
      <c r="A746" s="23"/>
      <c r="B746" s="97"/>
      <c r="C746" s="97"/>
      <c r="D746" s="24"/>
      <c r="E746" s="24"/>
      <c r="F746" s="24"/>
      <c r="G746" s="24"/>
      <c r="H746" s="24"/>
      <c r="I746" s="24"/>
      <c r="J746" s="24"/>
      <c r="K746" s="26"/>
      <c r="L746" s="26"/>
      <c r="M746" s="26"/>
      <c r="N746" s="79"/>
      <c r="O746" s="22"/>
      <c r="P746" s="22"/>
      <c r="Q746" s="91"/>
      <c r="R746" s="88"/>
    </row>
    <row r="747" spans="1:18" x14ac:dyDescent="0.2">
      <c r="A747" s="23"/>
      <c r="B747" s="97"/>
      <c r="C747" s="97"/>
      <c r="D747" s="24"/>
      <c r="E747" s="24"/>
      <c r="F747" s="24"/>
      <c r="G747" s="24"/>
      <c r="H747" s="24"/>
      <c r="I747" s="24"/>
      <c r="J747" s="24"/>
      <c r="K747" s="26"/>
      <c r="L747" s="26"/>
      <c r="M747" s="26"/>
      <c r="N747" s="79"/>
      <c r="O747" s="22"/>
      <c r="P747" s="22"/>
      <c r="Q747" s="91"/>
      <c r="R747" s="88"/>
    </row>
    <row r="748" spans="1:18" x14ac:dyDescent="0.2">
      <c r="A748" s="23"/>
      <c r="B748" s="97"/>
      <c r="C748" s="97"/>
      <c r="D748" s="24"/>
      <c r="E748" s="24"/>
      <c r="F748" s="24"/>
      <c r="G748" s="24"/>
      <c r="H748" s="24"/>
      <c r="I748" s="24"/>
      <c r="J748" s="24"/>
      <c r="K748" s="26"/>
      <c r="L748" s="26"/>
      <c r="M748" s="26"/>
      <c r="N748" s="79"/>
      <c r="O748" s="22"/>
      <c r="P748" s="22"/>
      <c r="Q748" s="91"/>
      <c r="R748" s="88"/>
    </row>
    <row r="749" spans="1:18" x14ac:dyDescent="0.2">
      <c r="A749" s="23"/>
      <c r="B749" s="97"/>
      <c r="C749" s="97"/>
      <c r="D749" s="24"/>
      <c r="E749" s="24"/>
      <c r="F749" s="24"/>
      <c r="G749" s="24"/>
      <c r="H749" s="24"/>
      <c r="I749" s="24"/>
      <c r="J749" s="24"/>
      <c r="K749" s="26"/>
      <c r="L749" s="26"/>
      <c r="M749" s="26"/>
      <c r="N749" s="79"/>
      <c r="O749" s="22"/>
      <c r="P749" s="22"/>
      <c r="Q749" s="91"/>
      <c r="R749" s="88"/>
    </row>
    <row r="750" spans="1:18" x14ac:dyDescent="0.2">
      <c r="A750" s="23"/>
      <c r="B750" s="97"/>
      <c r="C750" s="97"/>
      <c r="D750" s="24"/>
      <c r="E750" s="24"/>
      <c r="F750" s="24"/>
      <c r="G750" s="24"/>
      <c r="H750" s="24"/>
      <c r="I750" s="24"/>
      <c r="J750" s="24"/>
      <c r="K750" s="26"/>
      <c r="L750" s="26"/>
      <c r="M750" s="26"/>
      <c r="N750" s="79"/>
      <c r="O750" s="22"/>
      <c r="P750" s="22"/>
      <c r="Q750" s="91"/>
      <c r="R750" s="88"/>
    </row>
    <row r="751" spans="1:18" x14ac:dyDescent="0.2">
      <c r="A751" s="23"/>
      <c r="B751" s="97"/>
      <c r="C751" s="97"/>
      <c r="D751" s="24"/>
      <c r="E751" s="24"/>
      <c r="F751" s="24"/>
      <c r="G751" s="24"/>
      <c r="H751" s="24"/>
      <c r="I751" s="24"/>
      <c r="J751" s="24"/>
      <c r="K751" s="26"/>
      <c r="L751" s="26"/>
      <c r="M751" s="26"/>
      <c r="N751" s="79"/>
      <c r="O751" s="22"/>
      <c r="P751" s="22"/>
      <c r="Q751" s="91"/>
      <c r="R751" s="88"/>
    </row>
    <row r="752" spans="1:18" x14ac:dyDescent="0.2">
      <c r="A752" s="23"/>
      <c r="B752" s="97"/>
      <c r="C752" s="97"/>
      <c r="D752" s="24"/>
      <c r="E752" s="24"/>
      <c r="F752" s="24"/>
      <c r="G752" s="24"/>
      <c r="H752" s="24"/>
      <c r="I752" s="24"/>
      <c r="J752" s="24"/>
      <c r="K752" s="26"/>
      <c r="L752" s="26"/>
      <c r="M752" s="36"/>
      <c r="N752" s="79"/>
      <c r="O752" s="22"/>
      <c r="P752" s="22"/>
      <c r="Q752" s="91"/>
      <c r="R752" s="88"/>
    </row>
    <row r="753" spans="1:18" x14ac:dyDescent="0.2">
      <c r="A753" s="23"/>
      <c r="B753" s="97"/>
      <c r="C753" s="97"/>
      <c r="D753" s="24"/>
      <c r="E753" s="24"/>
      <c r="F753" s="24"/>
      <c r="G753" s="24"/>
      <c r="H753" s="24"/>
      <c r="I753" s="24"/>
      <c r="J753" s="24"/>
      <c r="K753" s="26"/>
      <c r="L753" s="26"/>
      <c r="M753" s="26"/>
      <c r="N753" s="79"/>
      <c r="O753" s="22"/>
      <c r="P753" s="22"/>
      <c r="Q753" s="91"/>
      <c r="R753" s="88"/>
    </row>
    <row r="754" spans="1:18" x14ac:dyDescent="0.2">
      <c r="A754" s="23"/>
      <c r="B754" s="97"/>
      <c r="C754" s="97"/>
      <c r="D754" s="24"/>
      <c r="E754" s="24"/>
      <c r="F754" s="24"/>
      <c r="G754" s="24"/>
      <c r="H754" s="24"/>
      <c r="I754" s="24"/>
      <c r="J754" s="24"/>
      <c r="K754" s="26"/>
      <c r="L754" s="26"/>
      <c r="M754" s="26"/>
      <c r="N754" s="79"/>
      <c r="O754" s="22"/>
      <c r="P754" s="22"/>
      <c r="Q754" s="91"/>
      <c r="R754" s="88"/>
    </row>
    <row r="755" spans="1:18" x14ac:dyDescent="0.2">
      <c r="A755" s="23"/>
      <c r="B755" s="97"/>
      <c r="C755" s="97"/>
      <c r="D755" s="24"/>
      <c r="E755" s="24"/>
      <c r="F755" s="24"/>
      <c r="G755" s="24"/>
      <c r="H755" s="24"/>
      <c r="I755" s="24"/>
      <c r="J755" s="24"/>
      <c r="K755" s="26"/>
      <c r="L755" s="26"/>
      <c r="M755" s="26"/>
      <c r="N755" s="79"/>
      <c r="O755" s="22"/>
      <c r="P755" s="22"/>
      <c r="Q755" s="91"/>
      <c r="R755" s="88"/>
    </row>
    <row r="756" spans="1:18" x14ac:dyDescent="0.2">
      <c r="A756" s="23"/>
      <c r="B756" s="97"/>
      <c r="C756" s="97"/>
      <c r="D756" s="24"/>
      <c r="E756" s="24"/>
      <c r="F756" s="24"/>
      <c r="G756" s="24"/>
      <c r="H756" s="24"/>
      <c r="I756" s="24"/>
      <c r="J756" s="24"/>
      <c r="K756" s="26"/>
      <c r="L756" s="26"/>
      <c r="M756" s="26"/>
      <c r="N756" s="79"/>
      <c r="O756" s="22"/>
      <c r="P756" s="22"/>
      <c r="Q756" s="91"/>
      <c r="R756" s="88"/>
    </row>
    <row r="757" spans="1:18" x14ac:dyDescent="0.2">
      <c r="A757" s="23"/>
      <c r="B757" s="97"/>
      <c r="C757" s="97"/>
      <c r="D757" s="24"/>
      <c r="E757" s="24"/>
      <c r="F757" s="24"/>
      <c r="G757" s="24"/>
      <c r="H757" s="24"/>
      <c r="I757" s="24"/>
      <c r="J757" s="24"/>
      <c r="K757" s="26"/>
      <c r="L757" s="26"/>
      <c r="M757" s="26"/>
      <c r="N757" s="79"/>
      <c r="O757" s="22"/>
      <c r="P757" s="22"/>
      <c r="Q757" s="91"/>
      <c r="R757" s="88"/>
    </row>
    <row r="758" spans="1:18" x14ac:dyDescent="0.2">
      <c r="A758" s="23"/>
      <c r="B758" s="97"/>
      <c r="C758" s="97"/>
      <c r="D758" s="24"/>
      <c r="E758" s="24"/>
      <c r="F758" s="24"/>
      <c r="G758" s="24"/>
      <c r="H758" s="24"/>
      <c r="I758" s="24"/>
      <c r="J758" s="24"/>
      <c r="K758" s="26"/>
      <c r="L758" s="26"/>
      <c r="M758" s="26"/>
      <c r="N758" s="79"/>
      <c r="O758" s="22"/>
      <c r="P758" s="22"/>
      <c r="Q758" s="91"/>
      <c r="R758" s="88"/>
    </row>
    <row r="759" spans="1:18" x14ac:dyDescent="0.2">
      <c r="A759" s="23"/>
      <c r="B759" s="97"/>
      <c r="C759" s="97"/>
      <c r="D759" s="24"/>
      <c r="E759" s="24"/>
      <c r="F759" s="24"/>
      <c r="G759" s="24"/>
      <c r="H759" s="24"/>
      <c r="I759" s="24"/>
      <c r="J759" s="24"/>
      <c r="K759" s="26"/>
      <c r="L759" s="26"/>
      <c r="M759" s="26"/>
      <c r="N759" s="79"/>
      <c r="O759" s="22"/>
      <c r="P759" s="22"/>
      <c r="Q759" s="91"/>
      <c r="R759" s="88"/>
    </row>
    <row r="760" spans="1:18" x14ac:dyDescent="0.2">
      <c r="A760" s="23"/>
      <c r="B760" s="97"/>
      <c r="C760" s="97"/>
      <c r="D760" s="24"/>
      <c r="E760" s="24"/>
      <c r="F760" s="24"/>
      <c r="G760" s="24"/>
      <c r="H760" s="24"/>
      <c r="I760" s="24"/>
      <c r="J760" s="24"/>
      <c r="K760" s="26"/>
      <c r="L760" s="26"/>
      <c r="M760" s="26"/>
      <c r="N760" s="79"/>
      <c r="O760" s="22"/>
      <c r="P760" s="22"/>
      <c r="Q760" s="91"/>
      <c r="R760" s="88"/>
    </row>
    <row r="761" spans="1:18" x14ac:dyDescent="0.2">
      <c r="A761" s="23"/>
      <c r="B761" s="97"/>
      <c r="C761" s="97"/>
      <c r="D761" s="24"/>
      <c r="E761" s="24"/>
      <c r="F761" s="24"/>
      <c r="G761" s="24"/>
      <c r="H761" s="24"/>
      <c r="I761" s="24"/>
      <c r="J761" s="24"/>
      <c r="K761" s="26"/>
      <c r="L761" s="26"/>
      <c r="M761" s="26"/>
      <c r="N761" s="79"/>
      <c r="O761" s="22"/>
      <c r="P761" s="22"/>
      <c r="Q761" s="91"/>
      <c r="R761" s="88"/>
    </row>
    <row r="762" spans="1:18" x14ac:dyDescent="0.2">
      <c r="A762" s="23"/>
      <c r="B762" s="97"/>
      <c r="C762" s="97"/>
      <c r="D762" s="24"/>
      <c r="E762" s="24"/>
      <c r="F762" s="24"/>
      <c r="G762" s="24"/>
      <c r="H762" s="24"/>
      <c r="I762" s="24"/>
      <c r="J762" s="24"/>
      <c r="K762" s="26"/>
      <c r="L762" s="26"/>
      <c r="M762" s="26"/>
      <c r="N762" s="79"/>
      <c r="O762" s="22"/>
      <c r="P762" s="22"/>
      <c r="Q762" s="91"/>
      <c r="R762" s="88"/>
    </row>
    <row r="763" spans="1:18" x14ac:dyDescent="0.2">
      <c r="A763" s="23"/>
      <c r="B763" s="97"/>
      <c r="C763" s="97"/>
      <c r="D763" s="24"/>
      <c r="E763" s="24"/>
      <c r="F763" s="24"/>
      <c r="G763" s="24"/>
      <c r="H763" s="24"/>
      <c r="I763" s="24"/>
      <c r="J763" s="24"/>
      <c r="K763" s="26"/>
      <c r="L763" s="26"/>
      <c r="M763" s="26"/>
      <c r="N763" s="79"/>
      <c r="O763" s="22"/>
      <c r="P763" s="22"/>
      <c r="Q763" s="91"/>
      <c r="R763" s="88"/>
    </row>
    <row r="764" spans="1:18" x14ac:dyDescent="0.2">
      <c r="A764" s="23"/>
      <c r="B764" s="97"/>
      <c r="C764" s="97"/>
      <c r="D764" s="24"/>
      <c r="E764" s="24"/>
      <c r="F764" s="24"/>
      <c r="G764" s="24"/>
      <c r="H764" s="24"/>
      <c r="I764" s="24"/>
      <c r="J764" s="24"/>
      <c r="K764" s="26"/>
      <c r="L764" s="26"/>
      <c r="M764" s="26"/>
      <c r="N764" s="79"/>
      <c r="O764" s="22"/>
      <c r="P764" s="22"/>
      <c r="Q764" s="91"/>
      <c r="R764" s="88"/>
    </row>
    <row r="765" spans="1:18" x14ac:dyDescent="0.2">
      <c r="A765" s="23"/>
      <c r="B765" s="97"/>
      <c r="C765" s="97"/>
      <c r="D765" s="24"/>
      <c r="E765" s="24"/>
      <c r="F765" s="24"/>
      <c r="G765" s="24"/>
      <c r="H765" s="24"/>
      <c r="I765" s="24"/>
      <c r="J765" s="24"/>
      <c r="K765" s="26"/>
      <c r="L765" s="26"/>
      <c r="M765" s="26"/>
      <c r="N765" s="79"/>
      <c r="O765" s="22"/>
      <c r="P765" s="22"/>
      <c r="Q765" s="91"/>
      <c r="R765" s="88"/>
    </row>
    <row r="766" spans="1:18" x14ac:dyDescent="0.2">
      <c r="A766" s="23"/>
      <c r="B766" s="97"/>
      <c r="C766" s="97"/>
      <c r="D766" s="24"/>
      <c r="E766" s="24"/>
      <c r="F766" s="24"/>
      <c r="G766" s="24"/>
      <c r="H766" s="24"/>
      <c r="I766" s="24"/>
      <c r="J766" s="24"/>
      <c r="K766" s="26"/>
      <c r="L766" s="26"/>
      <c r="M766" s="26"/>
      <c r="N766" s="79"/>
      <c r="O766" s="22"/>
      <c r="P766" s="22"/>
      <c r="Q766" s="91"/>
      <c r="R766" s="88"/>
    </row>
    <row r="767" spans="1:18" x14ac:dyDescent="0.2">
      <c r="A767" s="23"/>
      <c r="B767" s="97"/>
      <c r="C767" s="97"/>
      <c r="D767" s="24"/>
      <c r="E767" s="24"/>
      <c r="F767" s="24"/>
      <c r="G767" s="24"/>
      <c r="H767" s="24"/>
      <c r="I767" s="24"/>
      <c r="J767" s="24"/>
      <c r="K767" s="26"/>
      <c r="L767" s="26"/>
      <c r="M767" s="26"/>
      <c r="N767" s="79"/>
      <c r="O767" s="22"/>
      <c r="P767" s="22"/>
      <c r="Q767" s="91"/>
      <c r="R767" s="88"/>
    </row>
    <row r="768" spans="1:18" x14ac:dyDescent="0.2">
      <c r="A768" s="23"/>
      <c r="B768" s="97"/>
      <c r="C768" s="97"/>
      <c r="D768" s="24"/>
      <c r="E768" s="24"/>
      <c r="F768" s="24"/>
      <c r="G768" s="24"/>
      <c r="H768" s="24"/>
      <c r="I768" s="24"/>
      <c r="J768" s="24"/>
      <c r="K768" s="26"/>
      <c r="L768" s="26"/>
      <c r="M768" s="26"/>
      <c r="N768" s="79"/>
      <c r="O768" s="22"/>
      <c r="P768" s="22"/>
      <c r="Q768" s="91"/>
      <c r="R768" s="88"/>
    </row>
    <row r="769" spans="1:18" x14ac:dyDescent="0.2">
      <c r="A769" s="23"/>
      <c r="B769" s="97"/>
      <c r="C769" s="97"/>
      <c r="D769" s="24"/>
      <c r="E769" s="24"/>
      <c r="F769" s="24"/>
      <c r="G769" s="24"/>
      <c r="H769" s="24"/>
      <c r="I769" s="24"/>
      <c r="J769" s="24"/>
      <c r="K769" s="26"/>
      <c r="L769" s="26"/>
      <c r="M769" s="26"/>
      <c r="N769" s="79"/>
      <c r="O769" s="22"/>
      <c r="P769" s="22"/>
      <c r="Q769" s="91"/>
      <c r="R769" s="88"/>
    </row>
    <row r="770" spans="1:18" x14ac:dyDescent="0.2">
      <c r="A770" s="23"/>
      <c r="B770" s="97"/>
      <c r="C770" s="97"/>
      <c r="D770" s="24"/>
      <c r="E770" s="24"/>
      <c r="F770" s="24"/>
      <c r="G770" s="24"/>
      <c r="H770" s="24"/>
      <c r="I770" s="24"/>
      <c r="J770" s="24"/>
      <c r="K770" s="26"/>
      <c r="L770" s="26"/>
      <c r="M770" s="26"/>
      <c r="N770" s="79"/>
      <c r="O770" s="22"/>
      <c r="P770" s="22"/>
      <c r="Q770" s="91"/>
      <c r="R770" s="88"/>
    </row>
    <row r="771" spans="1:18" x14ac:dyDescent="0.2">
      <c r="A771" s="23"/>
      <c r="B771" s="97"/>
      <c r="C771" s="97"/>
      <c r="D771" s="24"/>
      <c r="E771" s="24"/>
      <c r="F771" s="24"/>
      <c r="G771" s="24"/>
      <c r="H771" s="24"/>
      <c r="I771" s="24"/>
      <c r="J771" s="24"/>
      <c r="K771" s="26"/>
      <c r="L771" s="26"/>
      <c r="M771" s="26"/>
      <c r="N771" s="79"/>
      <c r="O771" s="22"/>
      <c r="P771" s="22"/>
      <c r="Q771" s="91"/>
      <c r="R771" s="88"/>
    </row>
    <row r="772" spans="1:18" x14ac:dyDescent="0.2">
      <c r="A772" s="23"/>
      <c r="B772" s="97"/>
      <c r="C772" s="97"/>
      <c r="D772" s="24"/>
      <c r="E772" s="24"/>
      <c r="F772" s="24"/>
      <c r="G772" s="24"/>
      <c r="H772" s="24"/>
      <c r="I772" s="24"/>
      <c r="J772" s="24"/>
      <c r="K772" s="26"/>
      <c r="L772" s="26"/>
      <c r="M772" s="26"/>
      <c r="N772" s="79"/>
      <c r="O772" s="22"/>
      <c r="P772" s="22"/>
      <c r="Q772" s="91"/>
      <c r="R772" s="88"/>
    </row>
    <row r="773" spans="1:18" x14ac:dyDescent="0.2">
      <c r="A773" s="23"/>
      <c r="B773" s="97"/>
      <c r="C773" s="97"/>
      <c r="D773" s="24"/>
      <c r="E773" s="24"/>
      <c r="F773" s="24"/>
      <c r="G773" s="24"/>
      <c r="H773" s="24"/>
      <c r="I773" s="24"/>
      <c r="J773" s="24"/>
      <c r="K773" s="26"/>
      <c r="L773" s="26"/>
      <c r="M773" s="26"/>
      <c r="N773" s="79"/>
      <c r="O773" s="22"/>
      <c r="P773" s="22"/>
      <c r="Q773" s="91"/>
      <c r="R773" s="88"/>
    </row>
    <row r="774" spans="1:18" x14ac:dyDescent="0.2">
      <c r="A774" s="23"/>
      <c r="B774" s="97"/>
      <c r="C774" s="97"/>
      <c r="D774" s="24"/>
      <c r="E774" s="24"/>
      <c r="F774" s="24"/>
      <c r="G774" s="24"/>
      <c r="H774" s="24"/>
      <c r="I774" s="24"/>
      <c r="J774" s="24"/>
      <c r="K774" s="26"/>
      <c r="L774" s="26"/>
      <c r="M774" s="26"/>
      <c r="N774" s="79"/>
      <c r="O774" s="22"/>
      <c r="P774" s="22"/>
      <c r="Q774" s="91"/>
      <c r="R774" s="88"/>
    </row>
    <row r="775" spans="1:18" x14ac:dyDescent="0.2">
      <c r="A775" s="23"/>
      <c r="B775" s="97"/>
      <c r="C775" s="97"/>
      <c r="D775" s="24"/>
      <c r="E775" s="24"/>
      <c r="F775" s="24"/>
      <c r="G775" s="24"/>
      <c r="H775" s="24"/>
      <c r="I775" s="24"/>
      <c r="J775" s="24"/>
      <c r="K775" s="26"/>
      <c r="L775" s="26"/>
      <c r="M775" s="26"/>
      <c r="N775" s="79"/>
      <c r="O775" s="22"/>
      <c r="P775" s="22"/>
      <c r="Q775" s="91"/>
      <c r="R775" s="88"/>
    </row>
    <row r="776" spans="1:18" x14ac:dyDescent="0.2">
      <c r="A776" s="23"/>
      <c r="B776" s="97"/>
      <c r="C776" s="97"/>
      <c r="D776" s="24"/>
      <c r="E776" s="24"/>
      <c r="F776" s="24"/>
      <c r="G776" s="24"/>
      <c r="H776" s="24"/>
      <c r="I776" s="24"/>
      <c r="J776" s="24"/>
      <c r="K776" s="26"/>
      <c r="L776" s="26"/>
      <c r="M776" s="26"/>
      <c r="N776" s="79"/>
      <c r="O776" s="22"/>
      <c r="P776" s="22"/>
      <c r="Q776" s="91"/>
      <c r="R776" s="88"/>
    </row>
    <row r="777" spans="1:18" x14ac:dyDescent="0.2">
      <c r="A777" s="23"/>
      <c r="B777" s="97"/>
      <c r="C777" s="97"/>
      <c r="D777" s="24"/>
      <c r="E777" s="24"/>
      <c r="F777" s="24"/>
      <c r="G777" s="24"/>
      <c r="H777" s="24"/>
      <c r="I777" s="24"/>
      <c r="J777" s="24"/>
      <c r="K777" s="26"/>
      <c r="L777" s="26"/>
      <c r="M777" s="26"/>
      <c r="N777" s="79"/>
      <c r="O777" s="22"/>
      <c r="P777" s="22"/>
      <c r="Q777" s="91"/>
      <c r="R777" s="88"/>
    </row>
    <row r="778" spans="1:18" x14ac:dyDescent="0.2">
      <c r="A778" s="23"/>
      <c r="B778" s="97"/>
      <c r="C778" s="97"/>
      <c r="D778" s="24"/>
      <c r="E778" s="24"/>
      <c r="F778" s="24"/>
      <c r="G778" s="24"/>
      <c r="H778" s="24"/>
      <c r="I778" s="24"/>
      <c r="J778" s="24"/>
      <c r="K778" s="26"/>
      <c r="L778" s="26"/>
      <c r="M778" s="26"/>
      <c r="N778" s="79"/>
      <c r="O778" s="22"/>
      <c r="P778" s="22"/>
      <c r="Q778" s="91"/>
      <c r="R778" s="88"/>
    </row>
    <row r="779" spans="1:18" x14ac:dyDescent="0.2">
      <c r="A779" s="23"/>
      <c r="B779" s="97"/>
      <c r="C779" s="97"/>
      <c r="D779" s="24"/>
      <c r="E779" s="24"/>
      <c r="F779" s="24"/>
      <c r="G779" s="24"/>
      <c r="H779" s="24"/>
      <c r="I779" s="24"/>
      <c r="J779" s="24"/>
      <c r="K779" s="26"/>
      <c r="L779" s="26"/>
      <c r="M779" s="26"/>
      <c r="N779" s="79"/>
      <c r="O779" s="22"/>
      <c r="P779" s="22"/>
      <c r="Q779" s="91"/>
      <c r="R779" s="88"/>
    </row>
    <row r="780" spans="1:18" x14ac:dyDescent="0.2">
      <c r="A780" s="23"/>
      <c r="B780" s="97"/>
      <c r="C780" s="97"/>
      <c r="D780" s="24"/>
      <c r="E780" s="24"/>
      <c r="F780" s="24"/>
      <c r="G780" s="24"/>
      <c r="H780" s="24"/>
      <c r="I780" s="24"/>
      <c r="J780" s="24"/>
      <c r="K780" s="26"/>
      <c r="L780" s="26"/>
      <c r="M780" s="26"/>
      <c r="N780" s="79"/>
      <c r="O780" s="22"/>
      <c r="P780" s="22"/>
      <c r="Q780" s="91"/>
      <c r="R780" s="88"/>
    </row>
    <row r="781" spans="1:18" x14ac:dyDescent="0.2">
      <c r="A781" s="23"/>
      <c r="B781" s="97"/>
      <c r="C781" s="97"/>
      <c r="D781" s="24"/>
      <c r="E781" s="24"/>
      <c r="F781" s="24"/>
      <c r="G781" s="24"/>
      <c r="H781" s="24"/>
      <c r="I781" s="24"/>
      <c r="J781" s="24"/>
      <c r="K781" s="26"/>
      <c r="L781" s="26"/>
      <c r="M781" s="26"/>
      <c r="N781" s="79"/>
      <c r="O781" s="22"/>
      <c r="P781" s="22"/>
      <c r="Q781" s="91"/>
      <c r="R781" s="88"/>
    </row>
    <row r="782" spans="1:18" x14ac:dyDescent="0.2">
      <c r="A782" s="23"/>
      <c r="B782" s="97"/>
      <c r="C782" s="97"/>
      <c r="D782" s="24"/>
      <c r="E782" s="24"/>
      <c r="F782" s="24"/>
      <c r="G782" s="24"/>
      <c r="H782" s="24"/>
      <c r="I782" s="24"/>
      <c r="J782" s="24"/>
      <c r="K782" s="26"/>
      <c r="L782" s="26"/>
      <c r="M782" s="26"/>
      <c r="N782" s="79"/>
      <c r="O782" s="22"/>
      <c r="P782" s="22"/>
      <c r="Q782" s="91"/>
      <c r="R782" s="88"/>
    </row>
    <row r="783" spans="1:18" x14ac:dyDescent="0.2">
      <c r="A783" s="23"/>
      <c r="B783" s="97"/>
      <c r="C783" s="97"/>
      <c r="D783" s="24"/>
      <c r="E783" s="24"/>
      <c r="F783" s="24"/>
      <c r="G783" s="24"/>
      <c r="H783" s="24"/>
      <c r="I783" s="24"/>
      <c r="J783" s="24"/>
      <c r="K783" s="26"/>
      <c r="L783" s="26"/>
      <c r="M783" s="26"/>
      <c r="N783" s="79"/>
      <c r="O783" s="22"/>
      <c r="P783" s="22"/>
      <c r="Q783" s="91"/>
      <c r="R783" s="88"/>
    </row>
    <row r="784" spans="1:18" x14ac:dyDescent="0.2">
      <c r="A784" s="23"/>
      <c r="B784" s="97"/>
      <c r="C784" s="97"/>
      <c r="D784" s="24"/>
      <c r="E784" s="24"/>
      <c r="F784" s="24"/>
      <c r="G784" s="24"/>
      <c r="H784" s="24"/>
      <c r="I784" s="24"/>
      <c r="J784" s="24"/>
      <c r="K784" s="26"/>
      <c r="L784" s="26"/>
      <c r="M784" s="26"/>
      <c r="N784" s="79"/>
      <c r="O784" s="22"/>
      <c r="P784" s="22"/>
      <c r="Q784" s="91"/>
      <c r="R784" s="88"/>
    </row>
    <row r="785" spans="1:18" x14ac:dyDescent="0.2">
      <c r="A785" s="23"/>
      <c r="B785" s="97"/>
      <c r="C785" s="97"/>
      <c r="D785" s="24"/>
      <c r="E785" s="24"/>
      <c r="F785" s="24"/>
      <c r="G785" s="24"/>
      <c r="H785" s="24"/>
      <c r="I785" s="24"/>
      <c r="J785" s="24"/>
      <c r="K785" s="26"/>
      <c r="L785" s="26"/>
      <c r="M785" s="26"/>
      <c r="N785" s="79"/>
      <c r="O785" s="22"/>
      <c r="P785" s="22"/>
      <c r="Q785" s="91"/>
      <c r="R785" s="88"/>
    </row>
    <row r="786" spans="1:18" x14ac:dyDescent="0.2">
      <c r="A786" s="23"/>
      <c r="B786" s="97"/>
      <c r="C786" s="97"/>
      <c r="D786" s="24"/>
      <c r="E786" s="24"/>
      <c r="F786" s="24"/>
      <c r="G786" s="24"/>
      <c r="H786" s="24"/>
      <c r="I786" s="24"/>
      <c r="J786" s="24"/>
      <c r="K786" s="26"/>
      <c r="L786" s="26"/>
      <c r="M786" s="26"/>
      <c r="N786" s="79"/>
      <c r="O786" s="22"/>
      <c r="P786" s="22"/>
      <c r="Q786" s="91"/>
      <c r="R786" s="88"/>
    </row>
    <row r="787" spans="1:18" x14ac:dyDescent="0.2">
      <c r="A787" s="23"/>
      <c r="B787" s="97"/>
      <c r="C787" s="97"/>
      <c r="D787" s="24"/>
      <c r="E787" s="24"/>
      <c r="F787" s="24"/>
      <c r="G787" s="24"/>
      <c r="H787" s="24"/>
      <c r="I787" s="24"/>
      <c r="J787" s="24"/>
      <c r="K787" s="26"/>
      <c r="L787" s="26"/>
      <c r="M787" s="26"/>
      <c r="N787" s="79"/>
      <c r="O787" s="22"/>
      <c r="P787" s="22"/>
      <c r="Q787" s="91"/>
      <c r="R787" s="88"/>
    </row>
    <row r="788" spans="1:18" x14ac:dyDescent="0.2">
      <c r="A788" s="23"/>
      <c r="B788" s="97"/>
      <c r="C788" s="97"/>
      <c r="D788" s="24"/>
      <c r="E788" s="24"/>
      <c r="F788" s="24"/>
      <c r="G788" s="24"/>
      <c r="H788" s="24"/>
      <c r="I788" s="24"/>
      <c r="J788" s="24"/>
      <c r="K788" s="26"/>
      <c r="L788" s="26"/>
      <c r="M788" s="26"/>
      <c r="N788" s="79"/>
      <c r="O788" s="22"/>
      <c r="P788" s="22"/>
      <c r="Q788" s="91"/>
      <c r="R788" s="88"/>
    </row>
    <row r="789" spans="1:18" x14ac:dyDescent="0.2">
      <c r="A789" s="23"/>
      <c r="B789" s="97"/>
      <c r="C789" s="97"/>
      <c r="D789" s="24"/>
      <c r="E789" s="24"/>
      <c r="F789" s="24"/>
      <c r="G789" s="24"/>
      <c r="H789" s="24"/>
      <c r="I789" s="24"/>
      <c r="J789" s="24"/>
      <c r="K789" s="26"/>
      <c r="L789" s="26"/>
      <c r="M789" s="26"/>
      <c r="N789" s="79"/>
      <c r="O789" s="22"/>
      <c r="P789" s="22"/>
      <c r="Q789" s="91"/>
      <c r="R789" s="88"/>
    </row>
    <row r="790" spans="1:18" x14ac:dyDescent="0.2">
      <c r="A790" s="23"/>
      <c r="B790" s="97"/>
      <c r="C790" s="97"/>
      <c r="D790" s="24"/>
      <c r="E790" s="24"/>
      <c r="F790" s="24"/>
      <c r="G790" s="24"/>
      <c r="H790" s="24"/>
      <c r="I790" s="24"/>
      <c r="J790" s="24"/>
      <c r="K790" s="26"/>
      <c r="L790" s="26"/>
      <c r="M790" s="26"/>
      <c r="N790" s="79"/>
      <c r="O790" s="22"/>
      <c r="P790" s="22"/>
      <c r="Q790" s="91"/>
      <c r="R790" s="88"/>
    </row>
    <row r="791" spans="1:18" x14ac:dyDescent="0.2">
      <c r="A791" s="23"/>
      <c r="B791" s="97"/>
      <c r="C791" s="97"/>
      <c r="D791" s="24"/>
      <c r="E791" s="24"/>
      <c r="F791" s="24"/>
      <c r="G791" s="24"/>
      <c r="H791" s="24"/>
      <c r="I791" s="24"/>
      <c r="J791" s="24"/>
      <c r="K791" s="26"/>
      <c r="L791" s="26"/>
      <c r="M791" s="26"/>
      <c r="N791" s="79"/>
      <c r="O791" s="22"/>
      <c r="P791" s="22"/>
      <c r="Q791" s="91"/>
      <c r="R791" s="88"/>
    </row>
    <row r="792" spans="1:18" x14ac:dyDescent="0.2">
      <c r="A792" s="23"/>
      <c r="B792" s="97"/>
      <c r="C792" s="97"/>
      <c r="D792" s="24"/>
      <c r="E792" s="24"/>
      <c r="F792" s="24"/>
      <c r="G792" s="24"/>
      <c r="H792" s="24"/>
      <c r="I792" s="24"/>
      <c r="J792" s="24"/>
      <c r="K792" s="26"/>
      <c r="L792" s="26"/>
      <c r="M792" s="26"/>
      <c r="N792" s="79"/>
      <c r="O792" s="22"/>
      <c r="P792" s="22"/>
      <c r="Q792" s="91"/>
      <c r="R792" s="88"/>
    </row>
    <row r="793" spans="1:18" x14ac:dyDescent="0.2">
      <c r="A793" s="23"/>
      <c r="B793" s="97"/>
      <c r="C793" s="97"/>
      <c r="D793" s="24"/>
      <c r="E793" s="24"/>
      <c r="F793" s="24"/>
      <c r="G793" s="24"/>
      <c r="H793" s="24"/>
      <c r="I793" s="24"/>
      <c r="J793" s="24"/>
      <c r="K793" s="26"/>
      <c r="L793" s="26"/>
      <c r="M793" s="26"/>
      <c r="N793" s="79"/>
      <c r="O793" s="22"/>
      <c r="P793" s="22"/>
      <c r="Q793" s="91"/>
      <c r="R793" s="88"/>
    </row>
    <row r="794" spans="1:18" x14ac:dyDescent="0.2">
      <c r="A794" s="23"/>
      <c r="B794" s="97"/>
      <c r="C794" s="97"/>
      <c r="D794" s="24"/>
      <c r="E794" s="24"/>
      <c r="F794" s="24"/>
      <c r="G794" s="24"/>
      <c r="H794" s="24"/>
      <c r="I794" s="24"/>
      <c r="J794" s="24"/>
      <c r="K794" s="26"/>
      <c r="L794" s="26"/>
      <c r="M794" s="26"/>
      <c r="N794" s="79"/>
      <c r="O794" s="22"/>
      <c r="P794" s="22"/>
      <c r="Q794" s="91"/>
      <c r="R794" s="88"/>
    </row>
    <row r="795" spans="1:18" x14ac:dyDescent="0.2">
      <c r="A795" s="23"/>
      <c r="B795" s="97"/>
      <c r="C795" s="97"/>
      <c r="D795" s="24"/>
      <c r="E795" s="24"/>
      <c r="F795" s="24"/>
      <c r="G795" s="24"/>
      <c r="H795" s="24"/>
      <c r="I795" s="24"/>
      <c r="J795" s="24"/>
      <c r="K795" s="26"/>
      <c r="L795" s="26"/>
      <c r="M795" s="26"/>
      <c r="N795" s="79"/>
      <c r="O795" s="22"/>
      <c r="P795" s="22"/>
      <c r="Q795" s="91"/>
      <c r="R795" s="88"/>
    </row>
    <row r="796" spans="1:18" x14ac:dyDescent="0.2">
      <c r="A796" s="23"/>
      <c r="B796" s="97"/>
      <c r="C796" s="97"/>
      <c r="D796" s="24"/>
      <c r="E796" s="24"/>
      <c r="F796" s="24"/>
      <c r="G796" s="24"/>
      <c r="H796" s="24"/>
      <c r="I796" s="24"/>
      <c r="J796" s="24"/>
      <c r="K796" s="26"/>
      <c r="L796" s="26"/>
      <c r="M796" s="26"/>
      <c r="N796" s="79"/>
      <c r="O796" s="22"/>
      <c r="P796" s="22"/>
      <c r="Q796" s="91"/>
      <c r="R796" s="88"/>
    </row>
    <row r="797" spans="1:18" x14ac:dyDescent="0.2">
      <c r="A797" s="23"/>
      <c r="B797" s="97"/>
      <c r="C797" s="97"/>
      <c r="D797" s="24"/>
      <c r="E797" s="24"/>
      <c r="F797" s="24"/>
      <c r="G797" s="24"/>
      <c r="H797" s="24"/>
      <c r="I797" s="24"/>
      <c r="J797" s="24"/>
      <c r="K797" s="26"/>
      <c r="L797" s="26"/>
      <c r="M797" s="26"/>
      <c r="N797" s="79"/>
      <c r="O797" s="22"/>
      <c r="P797" s="22"/>
      <c r="Q797" s="91"/>
      <c r="R797" s="88"/>
    </row>
    <row r="798" spans="1:18" x14ac:dyDescent="0.2">
      <c r="A798" s="23"/>
      <c r="B798" s="97"/>
      <c r="C798" s="97"/>
      <c r="D798" s="24"/>
      <c r="E798" s="24"/>
      <c r="F798" s="24"/>
      <c r="G798" s="24"/>
      <c r="H798" s="24"/>
      <c r="I798" s="24"/>
      <c r="J798" s="24"/>
      <c r="K798" s="26"/>
      <c r="L798" s="26"/>
      <c r="M798" s="26"/>
      <c r="N798" s="79"/>
      <c r="O798" s="22"/>
      <c r="P798" s="22"/>
      <c r="Q798" s="91"/>
      <c r="R798" s="88"/>
    </row>
    <row r="799" spans="1:18" x14ac:dyDescent="0.2">
      <c r="A799" s="23"/>
      <c r="B799" s="97"/>
      <c r="C799" s="97"/>
      <c r="D799" s="24"/>
      <c r="E799" s="24"/>
      <c r="F799" s="24"/>
      <c r="G799" s="24"/>
      <c r="H799" s="24"/>
      <c r="I799" s="24"/>
      <c r="J799" s="24"/>
      <c r="K799" s="26"/>
      <c r="L799" s="26"/>
      <c r="M799" s="26"/>
      <c r="N799" s="79"/>
      <c r="O799" s="22"/>
      <c r="P799" s="22"/>
      <c r="Q799" s="91"/>
      <c r="R799" s="88"/>
    </row>
    <row r="800" spans="1:18" x14ac:dyDescent="0.2">
      <c r="A800" s="23"/>
      <c r="B800" s="97"/>
      <c r="C800" s="97"/>
      <c r="D800" s="24"/>
      <c r="E800" s="24"/>
      <c r="F800" s="24"/>
      <c r="G800" s="24"/>
      <c r="H800" s="24"/>
      <c r="I800" s="24"/>
      <c r="J800" s="24"/>
      <c r="K800" s="26"/>
      <c r="L800" s="26"/>
      <c r="M800" s="26"/>
      <c r="N800" s="79"/>
      <c r="O800" s="22"/>
      <c r="P800" s="22"/>
      <c r="Q800" s="91"/>
      <c r="R800" s="88"/>
    </row>
    <row r="801" spans="1:18" x14ac:dyDescent="0.2">
      <c r="A801" s="23"/>
      <c r="B801" s="97"/>
      <c r="C801" s="97"/>
      <c r="D801" s="24"/>
      <c r="E801" s="24"/>
      <c r="F801" s="24"/>
      <c r="G801" s="24"/>
      <c r="H801" s="24"/>
      <c r="I801" s="24"/>
      <c r="J801" s="24"/>
      <c r="K801" s="26"/>
      <c r="L801" s="26"/>
      <c r="M801" s="26"/>
      <c r="N801" s="79"/>
      <c r="O801" s="22"/>
      <c r="P801" s="22"/>
      <c r="Q801" s="91"/>
      <c r="R801" s="88"/>
    </row>
    <row r="802" spans="1:18" x14ac:dyDescent="0.2">
      <c r="A802" s="23"/>
      <c r="B802" s="97"/>
      <c r="C802" s="97"/>
      <c r="D802" s="24"/>
      <c r="E802" s="24"/>
      <c r="F802" s="24"/>
      <c r="G802" s="24"/>
      <c r="H802" s="24"/>
      <c r="I802" s="24"/>
      <c r="J802" s="24"/>
      <c r="K802" s="26"/>
      <c r="L802" s="26"/>
      <c r="M802" s="26"/>
      <c r="N802" s="79"/>
      <c r="O802" s="22"/>
      <c r="P802" s="22"/>
      <c r="Q802" s="91"/>
      <c r="R802" s="88"/>
    </row>
    <row r="803" spans="1:18" x14ac:dyDescent="0.2">
      <c r="A803" s="23"/>
      <c r="B803" s="97"/>
      <c r="C803" s="97"/>
      <c r="D803" s="24"/>
      <c r="E803" s="24"/>
      <c r="F803" s="24"/>
      <c r="G803" s="24"/>
      <c r="H803" s="24"/>
      <c r="I803" s="24"/>
      <c r="J803" s="24"/>
      <c r="K803" s="26"/>
      <c r="L803" s="26"/>
      <c r="M803" s="26"/>
      <c r="N803" s="79"/>
      <c r="O803" s="22"/>
      <c r="P803" s="22"/>
      <c r="Q803" s="91"/>
      <c r="R803" s="88"/>
    </row>
    <row r="804" spans="1:18" x14ac:dyDescent="0.2">
      <c r="A804" s="23"/>
      <c r="B804" s="97"/>
      <c r="C804" s="97"/>
      <c r="D804" s="24"/>
      <c r="E804" s="24"/>
      <c r="F804" s="24"/>
      <c r="G804" s="24"/>
      <c r="H804" s="24"/>
      <c r="I804" s="24"/>
      <c r="J804" s="24"/>
      <c r="K804" s="26"/>
      <c r="L804" s="26"/>
      <c r="M804" s="26"/>
      <c r="N804" s="79"/>
      <c r="O804" s="22"/>
      <c r="P804" s="22"/>
      <c r="Q804" s="91"/>
      <c r="R804" s="88"/>
    </row>
    <row r="805" spans="1:18" x14ac:dyDescent="0.2">
      <c r="A805" s="23"/>
      <c r="B805" s="97"/>
      <c r="C805" s="97"/>
      <c r="D805" s="24"/>
      <c r="E805" s="24"/>
      <c r="F805" s="24"/>
      <c r="G805" s="24"/>
      <c r="H805" s="24"/>
      <c r="I805" s="24"/>
      <c r="J805" s="24"/>
      <c r="K805" s="26"/>
      <c r="L805" s="26"/>
      <c r="M805" s="26"/>
      <c r="N805" s="79"/>
      <c r="O805" s="22"/>
      <c r="P805" s="22"/>
      <c r="Q805" s="91"/>
      <c r="R805" s="88"/>
    </row>
    <row r="806" spans="1:18" x14ac:dyDescent="0.2">
      <c r="A806" s="23"/>
      <c r="B806" s="97"/>
      <c r="C806" s="97"/>
      <c r="D806" s="24"/>
      <c r="E806" s="24"/>
      <c r="F806" s="24"/>
      <c r="G806" s="24"/>
      <c r="H806" s="24"/>
      <c r="I806" s="24"/>
      <c r="J806" s="24"/>
      <c r="K806" s="26"/>
      <c r="L806" s="26"/>
      <c r="M806" s="26"/>
      <c r="N806" s="79"/>
      <c r="O806" s="22"/>
      <c r="P806" s="22"/>
      <c r="Q806" s="91"/>
      <c r="R806" s="88"/>
    </row>
    <row r="807" spans="1:18" x14ac:dyDescent="0.2">
      <c r="A807" s="23"/>
      <c r="B807" s="97"/>
      <c r="C807" s="97"/>
      <c r="D807" s="24"/>
      <c r="E807" s="24"/>
      <c r="F807" s="24"/>
      <c r="G807" s="24"/>
      <c r="H807" s="24"/>
      <c r="I807" s="24"/>
      <c r="J807" s="24"/>
      <c r="K807" s="26"/>
      <c r="L807" s="26"/>
      <c r="M807" s="26"/>
      <c r="N807" s="79"/>
      <c r="O807" s="22"/>
      <c r="P807" s="22"/>
      <c r="Q807" s="91"/>
      <c r="R807" s="88"/>
    </row>
    <row r="808" spans="1:18" x14ac:dyDescent="0.2">
      <c r="A808" s="23"/>
      <c r="B808" s="97"/>
      <c r="C808" s="97"/>
      <c r="D808" s="24"/>
      <c r="E808" s="24"/>
      <c r="F808" s="24"/>
      <c r="G808" s="24"/>
      <c r="H808" s="24"/>
      <c r="I808" s="24"/>
      <c r="J808" s="24"/>
      <c r="K808" s="26"/>
      <c r="L808" s="26"/>
      <c r="M808" s="26"/>
      <c r="N808" s="79"/>
      <c r="O808" s="22"/>
      <c r="P808" s="22"/>
      <c r="Q808" s="91"/>
      <c r="R808" s="88"/>
    </row>
    <row r="809" spans="1:18" x14ac:dyDescent="0.2">
      <c r="A809" s="23"/>
      <c r="B809" s="97"/>
      <c r="C809" s="97"/>
      <c r="D809" s="24"/>
      <c r="E809" s="24"/>
      <c r="F809" s="24"/>
      <c r="G809" s="24"/>
      <c r="H809" s="24"/>
      <c r="I809" s="24"/>
      <c r="J809" s="24"/>
      <c r="K809" s="26"/>
      <c r="L809" s="26"/>
      <c r="M809" s="26"/>
      <c r="N809" s="79"/>
      <c r="O809" s="22"/>
      <c r="P809" s="22"/>
      <c r="Q809" s="91"/>
      <c r="R809" s="88"/>
    </row>
    <row r="810" spans="1:18" x14ac:dyDescent="0.2">
      <c r="A810" s="23"/>
      <c r="B810" s="97"/>
      <c r="C810" s="97"/>
      <c r="D810" s="24"/>
      <c r="E810" s="24"/>
      <c r="F810" s="24"/>
      <c r="G810" s="24"/>
      <c r="H810" s="24"/>
      <c r="I810" s="24"/>
      <c r="J810" s="24"/>
      <c r="K810" s="26"/>
      <c r="L810" s="26"/>
      <c r="M810" s="26"/>
      <c r="N810" s="79"/>
      <c r="O810" s="22"/>
      <c r="P810" s="22"/>
      <c r="Q810" s="91"/>
      <c r="R810" s="88"/>
    </row>
    <row r="811" spans="1:18" x14ac:dyDescent="0.2">
      <c r="A811" s="23"/>
      <c r="B811" s="97"/>
      <c r="C811" s="97"/>
      <c r="D811" s="24"/>
      <c r="E811" s="24"/>
      <c r="F811" s="24"/>
      <c r="G811" s="24"/>
      <c r="H811" s="24"/>
      <c r="I811" s="24"/>
      <c r="J811" s="24"/>
      <c r="K811" s="26"/>
      <c r="L811" s="26"/>
      <c r="M811" s="26"/>
      <c r="N811" s="79"/>
      <c r="O811" s="22"/>
      <c r="P811" s="22"/>
      <c r="Q811" s="91"/>
      <c r="R811" s="88"/>
    </row>
    <row r="812" spans="1:18" x14ac:dyDescent="0.2">
      <c r="A812" s="23"/>
      <c r="B812" s="97"/>
      <c r="C812" s="97"/>
      <c r="D812" s="24"/>
      <c r="E812" s="24"/>
      <c r="F812" s="24"/>
      <c r="G812" s="24"/>
      <c r="H812" s="24"/>
      <c r="I812" s="24"/>
      <c r="J812" s="24"/>
      <c r="K812" s="26"/>
      <c r="L812" s="26"/>
      <c r="M812" s="26"/>
      <c r="N812" s="79"/>
      <c r="O812" s="22"/>
      <c r="P812" s="22"/>
      <c r="Q812" s="91"/>
      <c r="R812" s="88"/>
    </row>
    <row r="813" spans="1:18" x14ac:dyDescent="0.2">
      <c r="A813" s="23"/>
      <c r="B813" s="97"/>
      <c r="C813" s="97"/>
      <c r="D813" s="24"/>
      <c r="E813" s="24"/>
      <c r="F813" s="24"/>
      <c r="G813" s="24"/>
      <c r="H813" s="24"/>
      <c r="I813" s="24"/>
      <c r="J813" s="24"/>
      <c r="K813" s="26"/>
      <c r="L813" s="26"/>
      <c r="M813" s="26"/>
      <c r="N813" s="79"/>
      <c r="O813" s="22"/>
      <c r="P813" s="22"/>
      <c r="Q813" s="91"/>
      <c r="R813" s="88"/>
    </row>
    <row r="814" spans="1:18" x14ac:dyDescent="0.2">
      <c r="A814" s="23"/>
      <c r="B814" s="97"/>
      <c r="C814" s="97"/>
      <c r="D814" s="24"/>
      <c r="E814" s="24"/>
      <c r="F814" s="24"/>
      <c r="G814" s="24"/>
      <c r="H814" s="24"/>
      <c r="I814" s="24"/>
      <c r="J814" s="24"/>
      <c r="K814" s="26"/>
      <c r="L814" s="26"/>
      <c r="M814" s="26"/>
      <c r="N814" s="79"/>
      <c r="O814" s="22"/>
      <c r="P814" s="22"/>
      <c r="Q814" s="91"/>
      <c r="R814" s="88"/>
    </row>
    <row r="815" spans="1:18" x14ac:dyDescent="0.2">
      <c r="A815" s="23"/>
      <c r="B815" s="97"/>
      <c r="C815" s="97"/>
      <c r="D815" s="24"/>
      <c r="E815" s="24"/>
      <c r="F815" s="24"/>
      <c r="G815" s="24"/>
      <c r="H815" s="24"/>
      <c r="I815" s="24"/>
      <c r="J815" s="24"/>
      <c r="K815" s="26"/>
      <c r="L815" s="26"/>
      <c r="M815" s="26"/>
      <c r="N815" s="79"/>
      <c r="O815" s="22"/>
      <c r="P815" s="22"/>
      <c r="Q815" s="91"/>
      <c r="R815" s="88"/>
    </row>
    <row r="816" spans="1:18" x14ac:dyDescent="0.2">
      <c r="A816" s="23"/>
      <c r="B816" s="97"/>
      <c r="C816" s="97"/>
      <c r="D816" s="24"/>
      <c r="E816" s="24"/>
      <c r="F816" s="24"/>
      <c r="G816" s="24"/>
      <c r="H816" s="24"/>
      <c r="I816" s="24"/>
      <c r="J816" s="24"/>
      <c r="K816" s="26"/>
      <c r="L816" s="26"/>
      <c r="M816" s="26"/>
      <c r="N816" s="79"/>
      <c r="O816" s="22"/>
      <c r="P816" s="22"/>
      <c r="Q816" s="91"/>
      <c r="R816" s="88"/>
    </row>
    <row r="817" spans="1:18" x14ac:dyDescent="0.2">
      <c r="A817" s="23"/>
      <c r="B817" s="97"/>
      <c r="C817" s="97"/>
      <c r="D817" s="24"/>
      <c r="E817" s="24"/>
      <c r="F817" s="24"/>
      <c r="G817" s="24"/>
      <c r="H817" s="24"/>
      <c r="I817" s="24"/>
      <c r="J817" s="24"/>
      <c r="K817" s="26"/>
      <c r="L817" s="26"/>
      <c r="M817" s="26"/>
      <c r="N817" s="79"/>
      <c r="O817" s="22"/>
      <c r="P817" s="22"/>
      <c r="Q817" s="91"/>
      <c r="R817" s="88"/>
    </row>
    <row r="818" spans="1:18" x14ac:dyDescent="0.2">
      <c r="A818" s="23"/>
      <c r="B818" s="97"/>
      <c r="C818" s="97"/>
      <c r="D818" s="24"/>
      <c r="E818" s="24"/>
      <c r="F818" s="24"/>
      <c r="G818" s="24"/>
      <c r="H818" s="24"/>
      <c r="I818" s="24"/>
      <c r="J818" s="24"/>
      <c r="K818" s="26"/>
      <c r="L818" s="26"/>
      <c r="M818" s="26"/>
      <c r="N818" s="79"/>
      <c r="O818" s="22"/>
      <c r="P818" s="22"/>
      <c r="Q818" s="91"/>
      <c r="R818" s="88"/>
    </row>
    <row r="819" spans="1:18" x14ac:dyDescent="0.2">
      <c r="A819" s="23"/>
      <c r="B819" s="97"/>
      <c r="C819" s="97"/>
      <c r="D819" s="24"/>
      <c r="E819" s="24"/>
      <c r="F819" s="24"/>
      <c r="G819" s="24"/>
      <c r="H819" s="24"/>
      <c r="I819" s="24"/>
      <c r="J819" s="24"/>
      <c r="K819" s="26"/>
      <c r="L819" s="26"/>
      <c r="M819" s="26"/>
      <c r="N819" s="79"/>
      <c r="O819" s="22"/>
      <c r="P819" s="22"/>
      <c r="Q819" s="91"/>
      <c r="R819" s="88"/>
    </row>
    <row r="820" spans="1:18" x14ac:dyDescent="0.2">
      <c r="A820" s="23"/>
      <c r="B820" s="97"/>
      <c r="C820" s="97"/>
      <c r="D820" s="24"/>
      <c r="E820" s="24"/>
      <c r="F820" s="24"/>
      <c r="G820" s="24"/>
      <c r="H820" s="24"/>
      <c r="I820" s="24"/>
      <c r="J820" s="24"/>
      <c r="K820" s="26"/>
      <c r="L820" s="26"/>
      <c r="M820" s="26"/>
      <c r="N820" s="79"/>
      <c r="O820" s="22"/>
      <c r="P820" s="22"/>
      <c r="Q820" s="91"/>
      <c r="R820" s="88"/>
    </row>
    <row r="821" spans="1:18" x14ac:dyDescent="0.2">
      <c r="A821" s="23"/>
      <c r="B821" s="97"/>
      <c r="C821" s="97"/>
      <c r="D821" s="24"/>
      <c r="E821" s="24"/>
      <c r="F821" s="24"/>
      <c r="G821" s="24"/>
      <c r="H821" s="24"/>
      <c r="I821" s="24"/>
      <c r="J821" s="24"/>
      <c r="K821" s="26"/>
      <c r="L821" s="26"/>
      <c r="M821" s="26"/>
      <c r="N821" s="79"/>
      <c r="O821" s="22"/>
      <c r="P821" s="22"/>
      <c r="Q821" s="91"/>
      <c r="R821" s="88"/>
    </row>
    <row r="822" spans="1:18" x14ac:dyDescent="0.2">
      <c r="A822" s="23"/>
      <c r="B822" s="97"/>
      <c r="C822" s="97"/>
      <c r="D822" s="24"/>
      <c r="E822" s="24"/>
      <c r="F822" s="24"/>
      <c r="G822" s="24"/>
      <c r="H822" s="24"/>
      <c r="I822" s="24"/>
      <c r="J822" s="24"/>
      <c r="K822" s="26"/>
      <c r="L822" s="26"/>
      <c r="M822" s="26"/>
      <c r="N822" s="79"/>
      <c r="O822" s="22"/>
      <c r="P822" s="22"/>
      <c r="Q822" s="91"/>
      <c r="R822" s="88"/>
    </row>
    <row r="823" spans="1:18" x14ac:dyDescent="0.2">
      <c r="A823" s="23"/>
      <c r="B823" s="97"/>
      <c r="C823" s="97"/>
      <c r="D823" s="24"/>
      <c r="E823" s="24"/>
      <c r="F823" s="24"/>
      <c r="G823" s="24"/>
      <c r="H823" s="24"/>
      <c r="I823" s="24"/>
      <c r="J823" s="24"/>
      <c r="K823" s="26"/>
      <c r="L823" s="26"/>
      <c r="M823" s="26"/>
      <c r="N823" s="79"/>
      <c r="O823" s="22"/>
      <c r="P823" s="22"/>
      <c r="Q823" s="91"/>
      <c r="R823" s="88"/>
    </row>
    <row r="824" spans="1:18" x14ac:dyDescent="0.2">
      <c r="A824" s="23"/>
      <c r="B824" s="97"/>
      <c r="C824" s="97"/>
      <c r="D824" s="24"/>
      <c r="E824" s="24"/>
      <c r="F824" s="24"/>
      <c r="G824" s="24"/>
      <c r="H824" s="24"/>
      <c r="I824" s="24"/>
      <c r="J824" s="24"/>
      <c r="K824" s="26"/>
      <c r="L824" s="26"/>
      <c r="M824" s="26"/>
      <c r="N824" s="79"/>
      <c r="O824" s="22"/>
      <c r="P824" s="22"/>
      <c r="Q824" s="91"/>
      <c r="R824" s="88"/>
    </row>
    <row r="825" spans="1:18" x14ac:dyDescent="0.2">
      <c r="A825" s="23"/>
      <c r="B825" s="97"/>
      <c r="C825" s="97"/>
      <c r="D825" s="24"/>
      <c r="E825" s="24"/>
      <c r="F825" s="24"/>
      <c r="G825" s="24"/>
      <c r="H825" s="24"/>
      <c r="I825" s="24"/>
      <c r="J825" s="24"/>
      <c r="K825" s="26"/>
      <c r="L825" s="26"/>
      <c r="M825" s="26"/>
      <c r="N825" s="79"/>
      <c r="O825" s="22"/>
      <c r="P825" s="22"/>
      <c r="Q825" s="91"/>
      <c r="R825" s="88"/>
    </row>
    <row r="826" spans="1:18" x14ac:dyDescent="0.2">
      <c r="A826" s="23"/>
      <c r="B826" s="97"/>
      <c r="C826" s="97"/>
      <c r="D826" s="24"/>
      <c r="E826" s="24"/>
      <c r="F826" s="24"/>
      <c r="G826" s="24"/>
      <c r="H826" s="24"/>
      <c r="I826" s="24"/>
      <c r="J826" s="24"/>
      <c r="K826" s="26"/>
      <c r="L826" s="26"/>
      <c r="M826" s="26"/>
      <c r="N826" s="79"/>
      <c r="O826" s="22"/>
      <c r="P826" s="22"/>
      <c r="Q826" s="91"/>
      <c r="R826" s="88"/>
    </row>
    <row r="827" spans="1:18" x14ac:dyDescent="0.2">
      <c r="A827" s="23"/>
      <c r="B827" s="97"/>
      <c r="C827" s="97"/>
      <c r="D827" s="24"/>
      <c r="E827" s="24"/>
      <c r="F827" s="24"/>
      <c r="G827" s="24"/>
      <c r="H827" s="24"/>
      <c r="I827" s="24"/>
      <c r="J827" s="24"/>
      <c r="K827" s="26"/>
      <c r="L827" s="26"/>
      <c r="M827" s="26"/>
      <c r="N827" s="79"/>
      <c r="O827" s="22"/>
      <c r="P827" s="22"/>
      <c r="Q827" s="91"/>
      <c r="R827" s="88"/>
    </row>
    <row r="828" spans="1:18" x14ac:dyDescent="0.2">
      <c r="A828" s="23"/>
      <c r="B828" s="97"/>
      <c r="C828" s="97"/>
      <c r="D828" s="24"/>
      <c r="E828" s="24"/>
      <c r="F828" s="24"/>
      <c r="G828" s="24"/>
      <c r="H828" s="24"/>
      <c r="I828" s="24"/>
      <c r="J828" s="24"/>
      <c r="K828" s="26"/>
      <c r="L828" s="26"/>
      <c r="M828" s="26"/>
      <c r="N828" s="79"/>
      <c r="O828" s="22"/>
      <c r="P828" s="22"/>
      <c r="Q828" s="91"/>
      <c r="R828" s="88"/>
    </row>
    <row r="829" spans="1:18" x14ac:dyDescent="0.2">
      <c r="A829" s="23"/>
      <c r="B829" s="97"/>
      <c r="C829" s="97"/>
      <c r="D829" s="24"/>
      <c r="E829" s="24"/>
      <c r="F829" s="24"/>
      <c r="G829" s="24"/>
      <c r="H829" s="24"/>
      <c r="I829" s="24"/>
      <c r="J829" s="24"/>
      <c r="K829" s="26"/>
      <c r="L829" s="26"/>
      <c r="M829" s="26"/>
      <c r="N829" s="79"/>
      <c r="O829" s="22"/>
      <c r="P829" s="22"/>
      <c r="Q829" s="91"/>
      <c r="R829" s="88"/>
    </row>
    <row r="830" spans="1:18" x14ac:dyDescent="0.2">
      <c r="A830" s="23"/>
      <c r="B830" s="97"/>
      <c r="C830" s="97"/>
      <c r="D830" s="24"/>
      <c r="E830" s="24"/>
      <c r="F830" s="24"/>
      <c r="G830" s="24"/>
      <c r="H830" s="24"/>
      <c r="I830" s="24"/>
      <c r="J830" s="24"/>
      <c r="K830" s="26"/>
      <c r="L830" s="26"/>
      <c r="M830" s="26"/>
      <c r="N830" s="79"/>
      <c r="O830" s="22"/>
      <c r="P830" s="22"/>
      <c r="Q830" s="91"/>
      <c r="R830" s="88"/>
    </row>
    <row r="831" spans="1:18" x14ac:dyDescent="0.2">
      <c r="A831" s="23"/>
      <c r="B831" s="97"/>
      <c r="C831" s="97"/>
      <c r="D831" s="24"/>
      <c r="E831" s="24"/>
      <c r="F831" s="24"/>
      <c r="G831" s="24"/>
      <c r="H831" s="24"/>
      <c r="I831" s="24"/>
      <c r="J831" s="24"/>
      <c r="K831" s="26"/>
      <c r="L831" s="26"/>
      <c r="M831" s="26"/>
      <c r="N831" s="79"/>
      <c r="O831" s="22"/>
      <c r="P831" s="22"/>
      <c r="Q831" s="91"/>
      <c r="R831" s="88"/>
    </row>
    <row r="832" spans="1:18" x14ac:dyDescent="0.2">
      <c r="A832" s="23"/>
      <c r="B832" s="97"/>
      <c r="C832" s="97"/>
      <c r="D832" s="24"/>
      <c r="E832" s="24"/>
      <c r="F832" s="24"/>
      <c r="G832" s="24"/>
      <c r="H832" s="24"/>
      <c r="I832" s="24"/>
      <c r="J832" s="24"/>
      <c r="K832" s="26"/>
      <c r="L832" s="26"/>
      <c r="M832" s="26"/>
      <c r="N832" s="79"/>
      <c r="O832" s="22"/>
      <c r="P832" s="22"/>
      <c r="Q832" s="91"/>
      <c r="R832" s="88"/>
    </row>
    <row r="833" spans="1:18" x14ac:dyDescent="0.2">
      <c r="A833" s="23"/>
      <c r="B833" s="97"/>
      <c r="C833" s="97"/>
      <c r="D833" s="24"/>
      <c r="E833" s="24"/>
      <c r="F833" s="24"/>
      <c r="G833" s="24"/>
      <c r="H833" s="24"/>
      <c r="I833" s="24"/>
      <c r="J833" s="24"/>
      <c r="K833" s="26"/>
      <c r="L833" s="26"/>
      <c r="M833" s="26"/>
      <c r="N833" s="79"/>
      <c r="O833" s="22"/>
      <c r="P833" s="22"/>
      <c r="Q833" s="91"/>
      <c r="R833" s="88"/>
    </row>
    <row r="834" spans="1:18" x14ac:dyDescent="0.2">
      <c r="A834" s="23"/>
      <c r="B834" s="97"/>
      <c r="C834" s="97"/>
      <c r="D834" s="24"/>
      <c r="E834" s="24"/>
      <c r="F834" s="24"/>
      <c r="G834" s="24"/>
      <c r="H834" s="24"/>
      <c r="I834" s="24"/>
      <c r="J834" s="24"/>
      <c r="K834" s="26"/>
      <c r="L834" s="26"/>
      <c r="M834" s="26"/>
      <c r="N834" s="79"/>
      <c r="O834" s="22"/>
      <c r="P834" s="22"/>
      <c r="Q834" s="91"/>
      <c r="R834" s="88"/>
    </row>
    <row r="835" spans="1:18" x14ac:dyDescent="0.2">
      <c r="A835" s="23"/>
      <c r="B835" s="97"/>
      <c r="C835" s="97"/>
      <c r="D835" s="24"/>
      <c r="E835" s="24"/>
      <c r="F835" s="24"/>
      <c r="G835" s="24"/>
      <c r="H835" s="24"/>
      <c r="I835" s="24"/>
      <c r="J835" s="24"/>
      <c r="K835" s="26"/>
      <c r="L835" s="26"/>
      <c r="M835" s="26"/>
      <c r="N835" s="79"/>
      <c r="O835" s="22"/>
      <c r="P835" s="22"/>
      <c r="Q835" s="91"/>
      <c r="R835" s="88"/>
    </row>
    <row r="836" spans="1:18" x14ac:dyDescent="0.2">
      <c r="A836" s="23"/>
      <c r="B836" s="97"/>
      <c r="C836" s="97"/>
      <c r="D836" s="24"/>
      <c r="E836" s="24"/>
      <c r="F836" s="24"/>
      <c r="G836" s="24"/>
      <c r="H836" s="24"/>
      <c r="I836" s="24"/>
      <c r="J836" s="24"/>
      <c r="K836" s="26"/>
      <c r="L836" s="26"/>
      <c r="M836" s="26"/>
      <c r="N836" s="79"/>
      <c r="O836" s="22"/>
      <c r="P836" s="22"/>
      <c r="Q836" s="91"/>
      <c r="R836" s="88"/>
    </row>
    <row r="837" spans="1:18" x14ac:dyDescent="0.2">
      <c r="A837" s="23"/>
      <c r="B837" s="97"/>
      <c r="C837" s="97"/>
      <c r="D837" s="24"/>
      <c r="E837" s="24"/>
      <c r="F837" s="24"/>
      <c r="G837" s="24"/>
      <c r="H837" s="24"/>
      <c r="I837" s="24"/>
      <c r="J837" s="24"/>
      <c r="K837" s="26"/>
      <c r="L837" s="26"/>
      <c r="M837" s="26"/>
      <c r="N837" s="79"/>
      <c r="O837" s="22"/>
      <c r="P837" s="22"/>
      <c r="Q837" s="91"/>
      <c r="R837" s="88"/>
    </row>
    <row r="838" spans="1:18" x14ac:dyDescent="0.2">
      <c r="A838" s="23"/>
      <c r="B838" s="97"/>
      <c r="C838" s="97"/>
      <c r="D838" s="24"/>
      <c r="E838" s="24"/>
      <c r="F838" s="24"/>
      <c r="G838" s="24"/>
      <c r="H838" s="24"/>
      <c r="I838" s="24"/>
      <c r="J838" s="24"/>
      <c r="K838" s="26"/>
      <c r="L838" s="26"/>
      <c r="M838" s="26"/>
      <c r="N838" s="79"/>
      <c r="O838" s="22"/>
      <c r="P838" s="22"/>
      <c r="Q838" s="91"/>
      <c r="R838" s="88"/>
    </row>
    <row r="839" spans="1:18" x14ac:dyDescent="0.2">
      <c r="A839" s="23"/>
      <c r="B839" s="97"/>
      <c r="C839" s="97"/>
      <c r="D839" s="24"/>
      <c r="E839" s="24"/>
      <c r="F839" s="24"/>
      <c r="G839" s="24"/>
      <c r="H839" s="24"/>
      <c r="I839" s="24"/>
      <c r="J839" s="24"/>
      <c r="K839" s="26"/>
      <c r="L839" s="26"/>
      <c r="M839" s="26"/>
      <c r="N839" s="79"/>
      <c r="O839" s="22"/>
      <c r="P839" s="22"/>
      <c r="Q839" s="91"/>
      <c r="R839" s="88"/>
    </row>
    <row r="840" spans="1:18" x14ac:dyDescent="0.2">
      <c r="A840" s="23"/>
      <c r="B840" s="97"/>
      <c r="C840" s="97"/>
      <c r="D840" s="24"/>
      <c r="E840" s="24"/>
      <c r="F840" s="24"/>
      <c r="G840" s="24"/>
      <c r="H840" s="24"/>
      <c r="I840" s="24"/>
      <c r="J840" s="24"/>
      <c r="K840" s="26"/>
      <c r="L840" s="26"/>
      <c r="M840" s="26"/>
      <c r="N840" s="79"/>
      <c r="O840" s="22"/>
      <c r="P840" s="22"/>
      <c r="Q840" s="91"/>
      <c r="R840" s="88"/>
    </row>
    <row r="841" spans="1:18" x14ac:dyDescent="0.2">
      <c r="A841" s="23"/>
      <c r="B841" s="97"/>
      <c r="C841" s="97"/>
      <c r="D841" s="24"/>
      <c r="E841" s="24"/>
      <c r="F841" s="24"/>
      <c r="G841" s="24"/>
      <c r="H841" s="24"/>
      <c r="I841" s="24"/>
      <c r="J841" s="24"/>
      <c r="K841" s="26"/>
      <c r="L841" s="26"/>
      <c r="M841" s="26"/>
      <c r="N841" s="79"/>
      <c r="O841" s="22"/>
      <c r="P841" s="22"/>
      <c r="Q841" s="91"/>
      <c r="R841" s="88"/>
    </row>
    <row r="842" spans="1:18" x14ac:dyDescent="0.2">
      <c r="A842" s="23"/>
      <c r="B842" s="97"/>
      <c r="C842" s="97"/>
      <c r="D842" s="24"/>
      <c r="E842" s="24"/>
      <c r="F842" s="24"/>
      <c r="G842" s="24"/>
      <c r="H842" s="24"/>
      <c r="I842" s="24"/>
      <c r="J842" s="24"/>
      <c r="K842" s="26"/>
      <c r="L842" s="26"/>
      <c r="M842" s="26"/>
      <c r="N842" s="79"/>
      <c r="O842" s="22"/>
      <c r="P842" s="22"/>
      <c r="Q842" s="91"/>
      <c r="R842" s="88"/>
    </row>
    <row r="843" spans="1:18" x14ac:dyDescent="0.2">
      <c r="A843" s="23"/>
      <c r="B843" s="97"/>
      <c r="C843" s="97"/>
      <c r="D843" s="24"/>
      <c r="E843" s="24"/>
      <c r="F843" s="24"/>
      <c r="G843" s="24"/>
      <c r="H843" s="24"/>
      <c r="I843" s="24"/>
      <c r="J843" s="24"/>
      <c r="K843" s="26"/>
      <c r="L843" s="26"/>
      <c r="M843" s="26"/>
      <c r="N843" s="79"/>
      <c r="O843" s="22"/>
      <c r="P843" s="22"/>
      <c r="Q843" s="91"/>
      <c r="R843" s="88"/>
    </row>
    <row r="844" spans="1:18" x14ac:dyDescent="0.2">
      <c r="A844" s="23"/>
      <c r="B844" s="97"/>
      <c r="C844" s="97"/>
      <c r="D844" s="24"/>
      <c r="E844" s="24"/>
      <c r="F844" s="24"/>
      <c r="G844" s="24"/>
      <c r="H844" s="24"/>
      <c r="I844" s="24"/>
      <c r="J844" s="24"/>
      <c r="K844" s="26"/>
      <c r="L844" s="26"/>
      <c r="M844" s="26"/>
      <c r="N844" s="79"/>
      <c r="O844" s="22"/>
      <c r="P844" s="22"/>
      <c r="Q844" s="91"/>
      <c r="R844" s="88"/>
    </row>
    <row r="845" spans="1:18" x14ac:dyDescent="0.2">
      <c r="A845" s="23"/>
      <c r="B845" s="97"/>
      <c r="C845" s="97"/>
      <c r="D845" s="24"/>
      <c r="E845" s="24"/>
      <c r="F845" s="24"/>
      <c r="G845" s="24"/>
      <c r="H845" s="24"/>
      <c r="I845" s="24"/>
      <c r="J845" s="24"/>
      <c r="K845" s="26"/>
      <c r="L845" s="26"/>
      <c r="M845" s="26"/>
      <c r="N845" s="79"/>
      <c r="O845" s="22"/>
      <c r="P845" s="22"/>
      <c r="Q845" s="91"/>
      <c r="R845" s="88"/>
    </row>
    <row r="846" spans="1:18" x14ac:dyDescent="0.2">
      <c r="A846" s="23"/>
      <c r="B846" s="97"/>
      <c r="C846" s="97"/>
      <c r="D846" s="24"/>
      <c r="E846" s="24"/>
      <c r="F846" s="24"/>
      <c r="G846" s="24"/>
      <c r="H846" s="24"/>
      <c r="I846" s="24"/>
      <c r="J846" s="24"/>
      <c r="K846" s="26"/>
      <c r="L846" s="26"/>
      <c r="M846" s="26"/>
      <c r="N846" s="79"/>
      <c r="O846" s="22"/>
      <c r="P846" s="22"/>
      <c r="Q846" s="91"/>
      <c r="R846" s="88"/>
    </row>
    <row r="847" spans="1:18" x14ac:dyDescent="0.2">
      <c r="A847" s="23"/>
      <c r="B847" s="97"/>
      <c r="C847" s="97"/>
      <c r="D847" s="24"/>
      <c r="E847" s="24"/>
      <c r="F847" s="24"/>
      <c r="G847" s="24"/>
      <c r="H847" s="24"/>
      <c r="I847" s="24"/>
      <c r="J847" s="24"/>
      <c r="K847" s="26"/>
      <c r="L847" s="26"/>
      <c r="M847" s="26"/>
      <c r="N847" s="79"/>
      <c r="O847" s="22"/>
      <c r="P847" s="22"/>
      <c r="Q847" s="91"/>
      <c r="R847" s="88"/>
    </row>
    <row r="848" spans="1:18" x14ac:dyDescent="0.2">
      <c r="A848" s="23"/>
      <c r="B848" s="97"/>
      <c r="C848" s="97"/>
      <c r="D848" s="24"/>
      <c r="E848" s="24"/>
      <c r="F848" s="24"/>
      <c r="G848" s="24"/>
      <c r="H848" s="24"/>
      <c r="I848" s="24"/>
      <c r="J848" s="24"/>
      <c r="K848" s="26"/>
      <c r="L848" s="26"/>
      <c r="M848" s="26"/>
      <c r="N848" s="79"/>
      <c r="O848" s="22"/>
      <c r="P848" s="22"/>
      <c r="Q848" s="91"/>
      <c r="R848" s="88"/>
    </row>
    <row r="849" spans="1:18" x14ac:dyDescent="0.2">
      <c r="A849" s="23"/>
      <c r="B849" s="97"/>
      <c r="C849" s="97"/>
      <c r="D849" s="24"/>
      <c r="E849" s="24"/>
      <c r="F849" s="24"/>
      <c r="G849" s="24"/>
      <c r="H849" s="24"/>
      <c r="I849" s="24"/>
      <c r="J849" s="24"/>
      <c r="K849" s="26"/>
      <c r="L849" s="26"/>
      <c r="M849" s="26"/>
      <c r="N849" s="79"/>
      <c r="O849" s="22"/>
      <c r="P849" s="22"/>
      <c r="Q849" s="91"/>
      <c r="R849" s="88"/>
    </row>
    <row r="850" spans="1:18" x14ac:dyDescent="0.2">
      <c r="A850" s="23"/>
      <c r="B850" s="97"/>
      <c r="C850" s="97"/>
      <c r="D850" s="24"/>
      <c r="E850" s="24"/>
      <c r="F850" s="24"/>
      <c r="G850" s="24"/>
      <c r="H850" s="24"/>
      <c r="I850" s="24"/>
      <c r="J850" s="24"/>
      <c r="K850" s="26"/>
      <c r="L850" s="26"/>
      <c r="M850" s="26"/>
      <c r="N850" s="79"/>
      <c r="O850" s="22"/>
      <c r="P850" s="22"/>
      <c r="Q850" s="91"/>
      <c r="R850" s="88"/>
    </row>
    <row r="851" spans="1:18" x14ac:dyDescent="0.2">
      <c r="A851" s="23"/>
      <c r="B851" s="97"/>
      <c r="C851" s="97"/>
      <c r="D851" s="24"/>
      <c r="E851" s="24"/>
      <c r="F851" s="24"/>
      <c r="G851" s="24"/>
      <c r="H851" s="24"/>
      <c r="I851" s="24"/>
      <c r="J851" s="24"/>
      <c r="K851" s="26"/>
      <c r="L851" s="26"/>
      <c r="M851" s="26"/>
      <c r="N851" s="79"/>
      <c r="O851" s="22"/>
      <c r="P851" s="22"/>
      <c r="Q851" s="91"/>
      <c r="R851" s="88"/>
    </row>
    <row r="852" spans="1:18" x14ac:dyDescent="0.2">
      <c r="A852" s="23"/>
      <c r="B852" s="97"/>
      <c r="C852" s="97"/>
      <c r="D852" s="24"/>
      <c r="E852" s="24"/>
      <c r="F852" s="24"/>
      <c r="G852" s="24"/>
      <c r="H852" s="24"/>
      <c r="I852" s="24"/>
      <c r="J852" s="24"/>
      <c r="K852" s="26"/>
      <c r="L852" s="26"/>
      <c r="M852" s="26"/>
      <c r="N852" s="79"/>
      <c r="O852" s="22"/>
      <c r="P852" s="22"/>
      <c r="Q852" s="91"/>
      <c r="R852" s="88"/>
    </row>
    <row r="853" spans="1:18" x14ac:dyDescent="0.2">
      <c r="A853" s="23"/>
      <c r="B853" s="97"/>
      <c r="C853" s="97"/>
      <c r="D853" s="24"/>
      <c r="E853" s="24"/>
      <c r="F853" s="24"/>
      <c r="G853" s="24"/>
      <c r="H853" s="24"/>
      <c r="I853" s="24"/>
      <c r="J853" s="24"/>
      <c r="K853" s="26"/>
      <c r="L853" s="26"/>
      <c r="M853" s="26"/>
      <c r="N853" s="79"/>
      <c r="O853" s="22"/>
      <c r="P853" s="22"/>
      <c r="Q853" s="91"/>
      <c r="R853" s="88"/>
    </row>
    <row r="854" spans="1:18" x14ac:dyDescent="0.2">
      <c r="A854" s="23"/>
      <c r="B854" s="97"/>
      <c r="C854" s="97"/>
      <c r="D854" s="24"/>
      <c r="E854" s="24"/>
      <c r="F854" s="24"/>
      <c r="G854" s="24"/>
      <c r="H854" s="24"/>
      <c r="I854" s="24"/>
      <c r="J854" s="24"/>
      <c r="K854" s="26"/>
      <c r="L854" s="26"/>
      <c r="M854" s="26"/>
      <c r="N854" s="79"/>
      <c r="O854" s="22"/>
      <c r="P854" s="22"/>
      <c r="Q854" s="91"/>
      <c r="R854" s="88"/>
    </row>
    <row r="855" spans="1:18" x14ac:dyDescent="0.2">
      <c r="A855" s="23"/>
      <c r="B855" s="97"/>
      <c r="C855" s="97"/>
      <c r="D855" s="24"/>
      <c r="E855" s="24"/>
      <c r="F855" s="24"/>
      <c r="G855" s="24"/>
      <c r="H855" s="24"/>
      <c r="I855" s="24"/>
      <c r="J855" s="24"/>
      <c r="K855" s="26"/>
      <c r="L855" s="26"/>
      <c r="M855" s="26"/>
      <c r="N855" s="79"/>
      <c r="O855" s="22"/>
      <c r="P855" s="22"/>
      <c r="Q855" s="91"/>
      <c r="R855" s="88"/>
    </row>
    <row r="856" spans="1:18" x14ac:dyDescent="0.2">
      <c r="A856" s="23"/>
      <c r="B856" s="97"/>
      <c r="C856" s="97"/>
      <c r="D856" s="24"/>
      <c r="E856" s="24"/>
      <c r="F856" s="24"/>
      <c r="G856" s="24"/>
      <c r="H856" s="24"/>
      <c r="I856" s="24"/>
      <c r="J856" s="24"/>
      <c r="K856" s="26"/>
      <c r="L856" s="26"/>
      <c r="M856" s="26"/>
      <c r="N856" s="79"/>
      <c r="O856" s="22"/>
      <c r="P856" s="22"/>
      <c r="Q856" s="91"/>
      <c r="R856" s="88"/>
    </row>
    <row r="857" spans="1:18" x14ac:dyDescent="0.2">
      <c r="A857" s="23"/>
      <c r="B857" s="97"/>
      <c r="C857" s="97"/>
      <c r="D857" s="24"/>
      <c r="E857" s="24"/>
      <c r="F857" s="24"/>
      <c r="G857" s="24"/>
      <c r="H857" s="24"/>
      <c r="I857" s="24"/>
      <c r="J857" s="24"/>
      <c r="K857" s="26"/>
      <c r="L857" s="26"/>
      <c r="M857" s="26"/>
      <c r="N857" s="79"/>
      <c r="O857" s="22"/>
      <c r="P857" s="22"/>
      <c r="Q857" s="91"/>
      <c r="R857" s="88"/>
    </row>
    <row r="858" spans="1:18" x14ac:dyDescent="0.2">
      <c r="A858" s="23"/>
      <c r="B858" s="97"/>
      <c r="C858" s="97"/>
      <c r="D858" s="24"/>
      <c r="E858" s="24"/>
      <c r="F858" s="24"/>
      <c r="G858" s="24"/>
      <c r="H858" s="24"/>
      <c r="I858" s="24"/>
      <c r="J858" s="24"/>
      <c r="K858" s="26"/>
      <c r="L858" s="26"/>
      <c r="M858" s="26"/>
      <c r="N858" s="79"/>
      <c r="O858" s="22"/>
      <c r="P858" s="22"/>
      <c r="Q858" s="91"/>
      <c r="R858" s="88"/>
    </row>
    <row r="859" spans="1:18" x14ac:dyDescent="0.2">
      <c r="A859" s="23"/>
      <c r="B859" s="97"/>
      <c r="C859" s="97"/>
      <c r="D859" s="24"/>
      <c r="E859" s="24"/>
      <c r="F859" s="24"/>
      <c r="G859" s="24"/>
      <c r="H859" s="24"/>
      <c r="I859" s="24"/>
      <c r="J859" s="24"/>
      <c r="K859" s="26"/>
      <c r="L859" s="26"/>
      <c r="M859" s="26"/>
      <c r="N859" s="79"/>
      <c r="O859" s="22"/>
      <c r="P859" s="22"/>
      <c r="Q859" s="91"/>
      <c r="R859" s="88"/>
    </row>
    <row r="860" spans="1:18" x14ac:dyDescent="0.2">
      <c r="A860" s="23"/>
      <c r="B860" s="97"/>
      <c r="C860" s="97"/>
      <c r="D860" s="24"/>
      <c r="E860" s="24"/>
      <c r="F860" s="24"/>
      <c r="G860" s="24"/>
      <c r="H860" s="24"/>
      <c r="I860" s="24"/>
      <c r="J860" s="24"/>
      <c r="K860" s="26"/>
      <c r="L860" s="26"/>
      <c r="M860" s="26"/>
      <c r="N860" s="79"/>
      <c r="O860" s="22"/>
      <c r="P860" s="22"/>
      <c r="Q860" s="91"/>
      <c r="R860" s="88"/>
    </row>
    <row r="861" spans="1:18" x14ac:dyDescent="0.2">
      <c r="A861" s="23"/>
      <c r="B861" s="97"/>
      <c r="C861" s="97"/>
      <c r="D861" s="24"/>
      <c r="E861" s="24"/>
      <c r="F861" s="24"/>
      <c r="G861" s="24"/>
      <c r="H861" s="24"/>
      <c r="I861" s="24"/>
      <c r="J861" s="24"/>
      <c r="K861" s="26"/>
      <c r="L861" s="26"/>
      <c r="M861" s="26"/>
      <c r="N861" s="79"/>
      <c r="O861" s="22"/>
      <c r="P861" s="22"/>
      <c r="Q861" s="91"/>
      <c r="R861" s="88"/>
    </row>
    <row r="862" spans="1:18" x14ac:dyDescent="0.2">
      <c r="A862" s="23"/>
      <c r="B862" s="97"/>
      <c r="C862" s="97"/>
      <c r="D862" s="24"/>
      <c r="E862" s="24"/>
      <c r="F862" s="24"/>
      <c r="G862" s="24"/>
      <c r="H862" s="24"/>
      <c r="I862" s="24"/>
      <c r="J862" s="24"/>
      <c r="K862" s="26"/>
      <c r="L862" s="26"/>
      <c r="M862" s="26"/>
      <c r="N862" s="79"/>
      <c r="O862" s="22"/>
      <c r="P862" s="22"/>
      <c r="Q862" s="91"/>
      <c r="R862" s="88"/>
    </row>
    <row r="863" spans="1:18" x14ac:dyDescent="0.2">
      <c r="A863" s="23"/>
      <c r="B863" s="97"/>
      <c r="C863" s="97"/>
      <c r="D863" s="24"/>
      <c r="E863" s="24"/>
      <c r="F863" s="24"/>
      <c r="G863" s="24"/>
      <c r="H863" s="24"/>
      <c r="I863" s="24"/>
      <c r="J863" s="24"/>
      <c r="K863" s="26"/>
      <c r="L863" s="26"/>
      <c r="M863" s="26"/>
      <c r="N863" s="79"/>
      <c r="O863" s="22"/>
      <c r="P863" s="22"/>
      <c r="Q863" s="91"/>
      <c r="R863" s="88"/>
    </row>
    <row r="864" spans="1:18" x14ac:dyDescent="0.2">
      <c r="A864" s="23"/>
      <c r="B864" s="97"/>
      <c r="C864" s="97"/>
      <c r="D864" s="24"/>
      <c r="E864" s="24"/>
      <c r="F864" s="24"/>
      <c r="G864" s="24"/>
      <c r="H864" s="24"/>
      <c r="I864" s="24"/>
      <c r="J864" s="24"/>
      <c r="K864" s="26"/>
      <c r="L864" s="26"/>
      <c r="M864" s="26"/>
      <c r="N864" s="79"/>
      <c r="O864" s="22"/>
      <c r="P864" s="22"/>
      <c r="Q864" s="91"/>
      <c r="R864" s="88"/>
    </row>
    <row r="865" spans="1:18" x14ac:dyDescent="0.2">
      <c r="A865" s="23"/>
      <c r="B865" s="97"/>
      <c r="C865" s="97"/>
      <c r="D865" s="24"/>
      <c r="E865" s="24"/>
      <c r="F865" s="24"/>
      <c r="G865" s="24"/>
      <c r="H865" s="24"/>
      <c r="I865" s="24"/>
      <c r="J865" s="24"/>
      <c r="K865" s="26"/>
      <c r="L865" s="26"/>
      <c r="M865" s="26"/>
      <c r="N865" s="79"/>
      <c r="O865" s="22"/>
      <c r="P865" s="22"/>
      <c r="Q865" s="91"/>
      <c r="R865" s="88"/>
    </row>
    <row r="866" spans="1:18" x14ac:dyDescent="0.2">
      <c r="A866" s="23"/>
      <c r="B866" s="97"/>
      <c r="C866" s="97"/>
      <c r="D866" s="24"/>
      <c r="E866" s="24"/>
      <c r="F866" s="24"/>
      <c r="G866" s="24"/>
      <c r="H866" s="24"/>
      <c r="I866" s="24"/>
      <c r="J866" s="24"/>
      <c r="K866" s="26"/>
      <c r="L866" s="26"/>
      <c r="M866" s="26"/>
      <c r="N866" s="79"/>
      <c r="O866" s="22"/>
      <c r="P866" s="22"/>
      <c r="Q866" s="91"/>
      <c r="R866" s="88"/>
    </row>
    <row r="867" spans="1:18" x14ac:dyDescent="0.2">
      <c r="A867" s="23"/>
      <c r="B867" s="97"/>
      <c r="C867" s="97"/>
      <c r="D867" s="24"/>
      <c r="E867" s="24"/>
      <c r="F867" s="24"/>
      <c r="G867" s="24"/>
      <c r="H867" s="24"/>
      <c r="I867" s="24"/>
      <c r="J867" s="24"/>
      <c r="K867" s="26"/>
      <c r="L867" s="26"/>
      <c r="M867" s="26"/>
      <c r="N867" s="79"/>
      <c r="O867" s="22"/>
      <c r="P867" s="22"/>
      <c r="Q867" s="91"/>
      <c r="R867" s="88"/>
    </row>
    <row r="868" spans="1:18" x14ac:dyDescent="0.2">
      <c r="A868" s="23"/>
      <c r="B868" s="97"/>
      <c r="C868" s="97"/>
      <c r="D868" s="24"/>
      <c r="E868" s="24"/>
      <c r="F868" s="24"/>
      <c r="G868" s="24"/>
      <c r="H868" s="24"/>
      <c r="I868" s="24"/>
      <c r="J868" s="24"/>
      <c r="K868" s="26"/>
      <c r="L868" s="26"/>
      <c r="M868" s="26"/>
      <c r="N868" s="79"/>
      <c r="O868" s="22"/>
      <c r="P868" s="22"/>
      <c r="Q868" s="91"/>
      <c r="R868" s="88"/>
    </row>
    <row r="869" spans="1:18" x14ac:dyDescent="0.2">
      <c r="A869" s="23"/>
      <c r="B869" s="97"/>
      <c r="C869" s="97"/>
      <c r="D869" s="24"/>
      <c r="E869" s="24"/>
      <c r="F869" s="24"/>
      <c r="G869" s="24"/>
      <c r="H869" s="24"/>
      <c r="I869" s="24"/>
      <c r="J869" s="24"/>
      <c r="K869" s="26"/>
      <c r="L869" s="26"/>
      <c r="M869" s="26"/>
      <c r="N869" s="79"/>
      <c r="O869" s="22"/>
      <c r="P869" s="22"/>
      <c r="Q869" s="91"/>
      <c r="R869" s="88"/>
    </row>
    <row r="870" spans="1:18" x14ac:dyDescent="0.2">
      <c r="A870" s="23"/>
      <c r="B870" s="97"/>
      <c r="C870" s="97"/>
      <c r="D870" s="24"/>
      <c r="E870" s="24"/>
      <c r="F870" s="24"/>
      <c r="G870" s="24"/>
      <c r="H870" s="24"/>
      <c r="I870" s="24"/>
      <c r="J870" s="24"/>
      <c r="K870" s="26"/>
      <c r="L870" s="26"/>
      <c r="M870" s="26"/>
      <c r="N870" s="79"/>
      <c r="O870" s="22"/>
      <c r="P870" s="22"/>
      <c r="Q870" s="91"/>
      <c r="R870" s="88"/>
    </row>
    <row r="871" spans="1:18" x14ac:dyDescent="0.2">
      <c r="A871" s="23"/>
      <c r="B871" s="97"/>
      <c r="C871" s="97"/>
      <c r="D871" s="24"/>
      <c r="E871" s="24"/>
      <c r="F871" s="24"/>
      <c r="G871" s="24"/>
      <c r="H871" s="24"/>
      <c r="I871" s="24"/>
      <c r="J871" s="24"/>
      <c r="K871" s="26"/>
      <c r="L871" s="26"/>
      <c r="M871" s="26"/>
      <c r="N871" s="79"/>
      <c r="O871" s="22"/>
      <c r="P871" s="22"/>
      <c r="Q871" s="91"/>
      <c r="R871" s="88"/>
    </row>
    <row r="872" spans="1:18" x14ac:dyDescent="0.2">
      <c r="A872" s="23"/>
      <c r="B872" s="97"/>
      <c r="C872" s="97"/>
      <c r="D872" s="24"/>
      <c r="E872" s="24"/>
      <c r="F872" s="24"/>
      <c r="G872" s="24"/>
      <c r="H872" s="24"/>
      <c r="I872" s="24"/>
      <c r="J872" s="24"/>
      <c r="K872" s="26"/>
      <c r="L872" s="26"/>
      <c r="M872" s="26"/>
      <c r="N872" s="79"/>
      <c r="O872" s="22"/>
      <c r="P872" s="22"/>
      <c r="Q872" s="91"/>
      <c r="R872" s="88"/>
    </row>
    <row r="873" spans="1:18" x14ac:dyDescent="0.2">
      <c r="A873" s="23"/>
      <c r="B873" s="97"/>
      <c r="C873" s="97"/>
      <c r="D873" s="24"/>
      <c r="E873" s="24"/>
      <c r="F873" s="24"/>
      <c r="G873" s="24"/>
      <c r="H873" s="24"/>
      <c r="I873" s="24"/>
      <c r="J873" s="24"/>
      <c r="K873" s="26"/>
      <c r="L873" s="26"/>
      <c r="M873" s="26"/>
      <c r="N873" s="79"/>
      <c r="O873" s="22"/>
      <c r="P873" s="22"/>
      <c r="Q873" s="91"/>
      <c r="R873" s="88"/>
    </row>
    <row r="874" spans="1:18" x14ac:dyDescent="0.2">
      <c r="A874" s="23"/>
      <c r="B874" s="97"/>
      <c r="C874" s="97"/>
      <c r="D874" s="24"/>
      <c r="E874" s="24"/>
      <c r="F874" s="24"/>
      <c r="G874" s="24"/>
      <c r="H874" s="24"/>
      <c r="I874" s="24"/>
      <c r="J874" s="24"/>
      <c r="K874" s="26"/>
      <c r="L874" s="26"/>
      <c r="M874" s="26"/>
      <c r="N874" s="79"/>
      <c r="O874" s="22"/>
      <c r="P874" s="22"/>
      <c r="Q874" s="91"/>
      <c r="R874" s="88"/>
    </row>
    <row r="875" spans="1:18" x14ac:dyDescent="0.2">
      <c r="A875" s="23"/>
      <c r="B875" s="97"/>
      <c r="C875" s="97"/>
      <c r="D875" s="24"/>
      <c r="E875" s="24"/>
      <c r="F875" s="24"/>
      <c r="G875" s="24"/>
      <c r="H875" s="24"/>
      <c r="I875" s="24"/>
      <c r="J875" s="24"/>
      <c r="K875" s="26"/>
      <c r="L875" s="26"/>
      <c r="M875" s="26"/>
      <c r="N875" s="79"/>
      <c r="O875" s="22"/>
      <c r="P875" s="22"/>
      <c r="Q875" s="91"/>
      <c r="R875" s="88"/>
    </row>
    <row r="876" spans="1:18" x14ac:dyDescent="0.2">
      <c r="A876" s="23"/>
      <c r="B876" s="97"/>
      <c r="C876" s="97"/>
      <c r="D876" s="24"/>
      <c r="E876" s="24"/>
      <c r="F876" s="24"/>
      <c r="G876" s="24"/>
      <c r="H876" s="24"/>
      <c r="I876" s="24"/>
      <c r="J876" s="24"/>
      <c r="K876" s="26"/>
      <c r="L876" s="26"/>
      <c r="M876" s="26"/>
      <c r="N876" s="79"/>
      <c r="O876" s="22"/>
      <c r="P876" s="22"/>
      <c r="Q876" s="91"/>
      <c r="R876" s="88"/>
    </row>
    <row r="877" spans="1:18" x14ac:dyDescent="0.2">
      <c r="A877" s="23"/>
      <c r="B877" s="97"/>
      <c r="C877" s="97"/>
      <c r="D877" s="24"/>
      <c r="E877" s="24"/>
      <c r="F877" s="24"/>
      <c r="G877" s="24"/>
      <c r="H877" s="24"/>
      <c r="I877" s="24"/>
      <c r="J877" s="24"/>
      <c r="K877" s="26"/>
      <c r="L877" s="26"/>
      <c r="M877" s="26"/>
      <c r="N877" s="79"/>
      <c r="O877" s="22"/>
      <c r="P877" s="22"/>
      <c r="Q877" s="93"/>
      <c r="R877" s="90"/>
    </row>
    <row r="878" spans="1:18" x14ac:dyDescent="0.2">
      <c r="A878" s="23"/>
      <c r="B878" s="97"/>
      <c r="C878" s="97"/>
      <c r="D878" s="24"/>
      <c r="E878" s="24"/>
      <c r="F878" s="24"/>
      <c r="G878" s="24"/>
      <c r="H878" s="24"/>
      <c r="I878" s="24"/>
      <c r="J878" s="24"/>
      <c r="K878" s="26"/>
      <c r="L878" s="26"/>
      <c r="M878" s="26"/>
      <c r="N878" s="79"/>
      <c r="O878" s="22"/>
      <c r="P878" s="22"/>
      <c r="Q878" s="93"/>
      <c r="R878" s="90"/>
    </row>
    <row r="879" spans="1:18" x14ac:dyDescent="0.2">
      <c r="A879" s="23"/>
      <c r="B879" s="97"/>
      <c r="C879" s="97"/>
      <c r="D879" s="24"/>
      <c r="E879" s="24"/>
      <c r="F879" s="24"/>
      <c r="G879" s="24"/>
      <c r="H879" s="24"/>
      <c r="I879" s="24"/>
      <c r="J879" s="24"/>
      <c r="K879" s="26"/>
      <c r="L879" s="26"/>
      <c r="M879" s="26"/>
      <c r="N879" s="79"/>
      <c r="O879" s="22"/>
      <c r="P879" s="22"/>
      <c r="Q879" s="93"/>
      <c r="R879" s="90"/>
    </row>
    <row r="880" spans="1:18" x14ac:dyDescent="0.2">
      <c r="A880" s="23"/>
      <c r="B880" s="97"/>
      <c r="C880" s="97"/>
      <c r="D880" s="24"/>
      <c r="E880" s="24"/>
      <c r="F880" s="24"/>
      <c r="G880" s="24"/>
      <c r="H880" s="24"/>
      <c r="I880" s="24"/>
      <c r="J880" s="24"/>
      <c r="K880" s="26"/>
      <c r="L880" s="26"/>
      <c r="M880" s="26"/>
      <c r="N880" s="79"/>
      <c r="O880" s="22"/>
      <c r="P880" s="22"/>
      <c r="Q880" s="93"/>
      <c r="R880" s="90"/>
    </row>
    <row r="881" spans="1:18" x14ac:dyDescent="0.2">
      <c r="A881" s="23"/>
      <c r="B881" s="97"/>
      <c r="C881" s="97"/>
      <c r="D881" s="24"/>
      <c r="E881" s="24"/>
      <c r="F881" s="24"/>
      <c r="G881" s="24"/>
      <c r="H881" s="24"/>
      <c r="I881" s="24"/>
      <c r="J881" s="24"/>
      <c r="K881" s="36"/>
      <c r="L881" s="36"/>
      <c r="M881" s="36"/>
      <c r="N881" s="80"/>
      <c r="O881" s="81"/>
      <c r="P881" s="81"/>
      <c r="Q881" s="94"/>
      <c r="R881" s="68"/>
    </row>
    <row r="882" spans="1:18" x14ac:dyDescent="0.2">
      <c r="A882" s="23"/>
      <c r="B882" s="97"/>
      <c r="C882" s="97"/>
      <c r="D882" s="24"/>
      <c r="E882" s="24"/>
      <c r="F882" s="24"/>
      <c r="G882" s="24"/>
      <c r="H882" s="24"/>
      <c r="I882" s="24"/>
      <c r="J882" s="24"/>
      <c r="K882" s="36"/>
      <c r="L882" s="36"/>
      <c r="M882" s="36"/>
      <c r="N882" s="80"/>
      <c r="O882" s="81"/>
      <c r="P882" s="81"/>
      <c r="Q882" s="94"/>
      <c r="R882" s="68"/>
    </row>
    <row r="883" spans="1:18" x14ac:dyDescent="0.2">
      <c r="A883" s="23"/>
      <c r="B883" s="97"/>
      <c r="C883" s="97"/>
      <c r="D883" s="24"/>
      <c r="E883" s="24"/>
      <c r="F883" s="24"/>
      <c r="G883" s="24"/>
      <c r="H883" s="24"/>
      <c r="I883" s="24"/>
      <c r="J883" s="24"/>
      <c r="K883" s="26"/>
      <c r="L883" s="26"/>
      <c r="M883" s="26"/>
      <c r="N883" s="79"/>
      <c r="O883" s="22"/>
      <c r="P883" s="22"/>
      <c r="Q883" s="93"/>
      <c r="R883" s="90"/>
    </row>
    <row r="884" spans="1:18" x14ac:dyDescent="0.2">
      <c r="A884" s="23"/>
      <c r="B884" s="97"/>
      <c r="C884" s="97"/>
      <c r="D884" s="24"/>
      <c r="E884" s="24"/>
      <c r="F884" s="24"/>
      <c r="G884" s="24"/>
      <c r="H884" s="24"/>
      <c r="I884" s="24"/>
      <c r="J884" s="24"/>
      <c r="K884" s="26"/>
      <c r="L884" s="26"/>
      <c r="M884" s="26"/>
      <c r="N884" s="79"/>
      <c r="O884" s="22"/>
      <c r="P884" s="22"/>
      <c r="Q884" s="93"/>
      <c r="R884" s="90"/>
    </row>
    <row r="885" spans="1:18" x14ac:dyDescent="0.2">
      <c r="A885" s="23"/>
      <c r="B885" s="97"/>
      <c r="C885" s="97"/>
      <c r="D885" s="24"/>
      <c r="E885" s="24"/>
      <c r="F885" s="24"/>
      <c r="G885" s="24"/>
      <c r="H885" s="24"/>
      <c r="I885" s="24"/>
      <c r="J885" s="24"/>
      <c r="K885" s="26"/>
      <c r="L885" s="26"/>
      <c r="M885" s="26"/>
      <c r="N885" s="79"/>
      <c r="O885" s="22"/>
      <c r="P885" s="22"/>
      <c r="Q885" s="93"/>
      <c r="R885" s="90"/>
    </row>
    <row r="886" spans="1:18" x14ac:dyDescent="0.2">
      <c r="A886" s="23"/>
      <c r="B886" s="97"/>
      <c r="C886" s="97"/>
      <c r="D886" s="24"/>
      <c r="E886" s="24"/>
      <c r="F886" s="24"/>
      <c r="G886" s="24"/>
      <c r="H886" s="24"/>
      <c r="I886" s="24"/>
      <c r="J886" s="24"/>
      <c r="K886" s="26"/>
      <c r="L886" s="26"/>
      <c r="M886" s="26"/>
      <c r="N886" s="79"/>
      <c r="O886" s="22"/>
      <c r="P886" s="22"/>
      <c r="Q886" s="93"/>
      <c r="R886" s="90"/>
    </row>
    <row r="887" spans="1:18" x14ac:dyDescent="0.2">
      <c r="A887" s="23"/>
      <c r="B887" s="97"/>
      <c r="C887" s="97"/>
      <c r="D887" s="24"/>
      <c r="E887" s="24"/>
      <c r="F887" s="24"/>
      <c r="G887" s="24"/>
      <c r="H887" s="24"/>
      <c r="I887" s="24"/>
      <c r="J887" s="24"/>
      <c r="K887" s="26"/>
      <c r="L887" s="26"/>
      <c r="M887" s="26"/>
      <c r="N887" s="79"/>
      <c r="O887" s="22"/>
      <c r="P887" s="22"/>
      <c r="Q887" s="93"/>
      <c r="R887" s="90"/>
    </row>
    <row r="888" spans="1:18" x14ac:dyDescent="0.2">
      <c r="A888" s="23"/>
      <c r="B888" s="97"/>
      <c r="C888" s="97"/>
      <c r="D888" s="24"/>
      <c r="E888" s="24"/>
      <c r="F888" s="24"/>
      <c r="G888" s="24"/>
      <c r="H888" s="24"/>
      <c r="I888" s="24"/>
      <c r="J888" s="24"/>
      <c r="K888" s="26"/>
      <c r="L888" s="26"/>
      <c r="M888" s="26"/>
      <c r="N888" s="79"/>
      <c r="O888" s="22"/>
      <c r="P888" s="22"/>
      <c r="Q888" s="93"/>
      <c r="R888" s="90"/>
    </row>
    <row r="889" spans="1:18" x14ac:dyDescent="0.2">
      <c r="A889" s="23"/>
      <c r="B889" s="97"/>
      <c r="C889" s="97"/>
      <c r="D889" s="24"/>
      <c r="E889" s="24"/>
      <c r="F889" s="24"/>
      <c r="G889" s="24"/>
      <c r="H889" s="24"/>
      <c r="I889" s="24"/>
      <c r="J889" s="24"/>
      <c r="K889" s="26"/>
      <c r="L889" s="26"/>
      <c r="M889" s="26"/>
      <c r="N889" s="79"/>
      <c r="O889" s="22"/>
      <c r="P889" s="22"/>
      <c r="Q889" s="93"/>
      <c r="R889" s="90"/>
    </row>
    <row r="890" spans="1:18" x14ac:dyDescent="0.2">
      <c r="A890" s="23"/>
      <c r="B890" s="97"/>
      <c r="C890" s="97"/>
      <c r="D890" s="24"/>
      <c r="E890" s="24"/>
      <c r="F890" s="24"/>
      <c r="G890" s="24"/>
      <c r="H890" s="24"/>
      <c r="I890" s="24"/>
      <c r="J890" s="24"/>
      <c r="K890" s="26"/>
      <c r="L890" s="26"/>
      <c r="M890" s="26"/>
      <c r="N890" s="79"/>
      <c r="O890" s="22"/>
      <c r="P890" s="22"/>
      <c r="Q890" s="93"/>
      <c r="R890" s="90"/>
    </row>
    <row r="891" spans="1:18" x14ac:dyDescent="0.2">
      <c r="A891" s="23"/>
      <c r="B891" s="97"/>
      <c r="C891" s="97"/>
      <c r="D891" s="24"/>
      <c r="E891" s="24"/>
      <c r="F891" s="24"/>
      <c r="G891" s="24"/>
      <c r="H891" s="24"/>
      <c r="I891" s="24"/>
      <c r="J891" s="24"/>
      <c r="K891" s="36"/>
      <c r="L891" s="26"/>
      <c r="M891" s="26"/>
      <c r="N891" s="80"/>
      <c r="O891" s="81"/>
      <c r="P891" s="81"/>
      <c r="Q891" s="94"/>
      <c r="R891" s="68"/>
    </row>
    <row r="892" spans="1:18" x14ac:dyDescent="0.2">
      <c r="A892" s="23"/>
      <c r="B892" s="97"/>
      <c r="C892" s="97"/>
      <c r="D892" s="24"/>
      <c r="E892" s="24"/>
      <c r="F892" s="24"/>
      <c r="G892" s="24"/>
      <c r="H892" s="24"/>
      <c r="I892" s="24"/>
      <c r="J892" s="24"/>
      <c r="K892" s="26"/>
      <c r="L892" s="26"/>
      <c r="M892" s="26"/>
      <c r="N892" s="79"/>
      <c r="O892" s="22"/>
      <c r="P892" s="22"/>
      <c r="Q892" s="93"/>
      <c r="R892" s="90"/>
    </row>
    <row r="893" spans="1:18" x14ac:dyDescent="0.2">
      <c r="A893" s="23"/>
      <c r="B893" s="97"/>
      <c r="C893" s="97"/>
      <c r="D893" s="24"/>
      <c r="E893" s="24"/>
      <c r="F893" s="24"/>
      <c r="G893" s="24"/>
      <c r="H893" s="24"/>
      <c r="I893" s="24"/>
      <c r="J893" s="24"/>
      <c r="K893" s="26"/>
      <c r="L893" s="26"/>
      <c r="M893" s="36"/>
      <c r="N893" s="79"/>
      <c r="O893" s="22"/>
      <c r="P893" s="22"/>
      <c r="Q893" s="93"/>
      <c r="R893" s="90"/>
    </row>
    <row r="894" spans="1:18" x14ac:dyDescent="0.2">
      <c r="A894" s="23"/>
      <c r="B894" s="97"/>
      <c r="C894" s="97"/>
      <c r="D894" s="24"/>
      <c r="E894" s="24"/>
      <c r="F894" s="24"/>
      <c r="G894" s="24"/>
      <c r="H894" s="24"/>
      <c r="I894" s="24"/>
      <c r="J894" s="24"/>
      <c r="K894" s="26"/>
      <c r="L894" s="26"/>
      <c r="M894" s="36"/>
      <c r="N894" s="79"/>
      <c r="O894" s="22"/>
      <c r="P894" s="22"/>
      <c r="Q894" s="93"/>
      <c r="R894" s="90"/>
    </row>
    <row r="895" spans="1:18" x14ac:dyDescent="0.2">
      <c r="A895" s="23"/>
      <c r="B895" s="97"/>
      <c r="C895" s="97"/>
      <c r="D895" s="24"/>
      <c r="E895" s="24"/>
      <c r="F895" s="24"/>
      <c r="G895" s="24"/>
      <c r="H895" s="24"/>
      <c r="I895" s="24"/>
      <c r="J895" s="24"/>
      <c r="K895" s="26"/>
      <c r="L895" s="26"/>
      <c r="M895" s="26"/>
      <c r="N895" s="79"/>
      <c r="O895" s="22"/>
      <c r="P895" s="22"/>
      <c r="Q895" s="93"/>
      <c r="R895" s="90"/>
    </row>
    <row r="896" spans="1:18" x14ac:dyDescent="0.2">
      <c r="A896" s="23"/>
      <c r="B896" s="97"/>
      <c r="C896" s="97"/>
      <c r="D896" s="24"/>
      <c r="E896" s="24"/>
      <c r="F896" s="24"/>
      <c r="G896" s="24"/>
      <c r="H896" s="24"/>
      <c r="I896" s="24"/>
      <c r="J896" s="24"/>
      <c r="K896" s="26"/>
      <c r="L896" s="26"/>
      <c r="M896" s="26"/>
      <c r="N896" s="79"/>
      <c r="O896" s="22"/>
      <c r="P896" s="22"/>
      <c r="Q896" s="93"/>
      <c r="R896" s="90"/>
    </row>
    <row r="897" spans="1:18" x14ac:dyDescent="0.2">
      <c r="A897" s="23"/>
      <c r="B897" s="97"/>
      <c r="C897" s="97"/>
      <c r="D897" s="24"/>
      <c r="E897" s="24"/>
      <c r="F897" s="24"/>
      <c r="G897" s="24"/>
      <c r="H897" s="24"/>
      <c r="I897" s="24"/>
      <c r="J897" s="24"/>
      <c r="K897" s="36"/>
      <c r="L897" s="36"/>
      <c r="M897" s="36"/>
      <c r="N897" s="80"/>
      <c r="O897" s="81"/>
      <c r="P897" s="81"/>
      <c r="Q897" s="94"/>
      <c r="R897" s="68"/>
    </row>
    <row r="898" spans="1:18" x14ac:dyDescent="0.2">
      <c r="A898" s="23"/>
      <c r="B898" s="97"/>
      <c r="C898" s="97"/>
      <c r="D898" s="24"/>
      <c r="E898" s="24"/>
      <c r="F898" s="24"/>
      <c r="G898" s="24"/>
      <c r="H898" s="24"/>
      <c r="I898" s="24"/>
      <c r="J898" s="24"/>
      <c r="K898" s="26"/>
      <c r="L898" s="26"/>
      <c r="M898" s="26"/>
      <c r="N898" s="79"/>
      <c r="O898" s="22"/>
      <c r="P898" s="22"/>
      <c r="Q898" s="93"/>
      <c r="R898" s="90"/>
    </row>
    <row r="899" spans="1:18" x14ac:dyDescent="0.2">
      <c r="A899" s="23"/>
      <c r="B899" s="97"/>
      <c r="C899" s="97"/>
      <c r="D899" s="24"/>
      <c r="E899" s="24"/>
      <c r="F899" s="24"/>
      <c r="G899" s="24"/>
      <c r="H899" s="24"/>
      <c r="I899" s="24"/>
      <c r="J899" s="24"/>
      <c r="K899" s="36"/>
      <c r="L899" s="36"/>
      <c r="M899" s="36"/>
      <c r="N899" s="80"/>
      <c r="O899" s="81"/>
      <c r="P899" s="81"/>
      <c r="Q899" s="94"/>
      <c r="R899" s="68"/>
    </row>
    <row r="900" spans="1:18" x14ac:dyDescent="0.2">
      <c r="A900" s="23"/>
      <c r="B900" s="97"/>
      <c r="C900" s="97"/>
      <c r="D900" s="24"/>
      <c r="E900" s="24"/>
      <c r="F900" s="24"/>
      <c r="G900" s="24"/>
      <c r="H900" s="24"/>
      <c r="I900" s="24"/>
      <c r="J900" s="24"/>
      <c r="K900" s="26"/>
      <c r="L900" s="36"/>
      <c r="M900" s="26"/>
      <c r="N900" s="79"/>
      <c r="O900" s="22"/>
      <c r="P900" s="22"/>
      <c r="Q900" s="93"/>
      <c r="R900" s="90"/>
    </row>
    <row r="901" spans="1:18" x14ac:dyDescent="0.2">
      <c r="A901" s="23"/>
      <c r="B901" s="97"/>
      <c r="C901" s="97"/>
      <c r="D901" s="24"/>
      <c r="E901" s="24"/>
      <c r="F901" s="24"/>
      <c r="G901" s="24"/>
      <c r="H901" s="24"/>
      <c r="I901" s="24"/>
      <c r="J901" s="24"/>
      <c r="K901" s="26"/>
      <c r="L901" s="26"/>
      <c r="M901" s="26"/>
      <c r="N901" s="79"/>
      <c r="O901" s="22"/>
      <c r="P901" s="22"/>
      <c r="Q901" s="93"/>
      <c r="R901" s="90"/>
    </row>
    <row r="902" spans="1:18" x14ac:dyDescent="0.2">
      <c r="A902" s="23"/>
      <c r="B902" s="97"/>
      <c r="C902" s="97"/>
      <c r="D902" s="24"/>
      <c r="E902" s="24"/>
      <c r="F902" s="24"/>
      <c r="G902" s="24"/>
      <c r="H902" s="24"/>
      <c r="I902" s="24"/>
      <c r="J902" s="24"/>
      <c r="K902" s="36"/>
      <c r="L902" s="26"/>
      <c r="M902" s="36"/>
      <c r="N902" s="79"/>
      <c r="O902" s="81"/>
      <c r="P902" s="81"/>
      <c r="Q902" s="94"/>
      <c r="R902" s="68"/>
    </row>
    <row r="903" spans="1:18" x14ac:dyDescent="0.2">
      <c r="A903" s="23"/>
      <c r="B903" s="97"/>
      <c r="C903" s="97"/>
      <c r="D903" s="24"/>
      <c r="E903" s="24"/>
      <c r="F903" s="24"/>
      <c r="G903" s="24"/>
      <c r="H903" s="24"/>
      <c r="I903" s="24"/>
      <c r="J903" s="24"/>
      <c r="K903" s="36"/>
      <c r="L903" s="36"/>
      <c r="M903" s="26"/>
      <c r="N903" s="79"/>
      <c r="O903" s="22"/>
      <c r="P903" s="22"/>
      <c r="Q903" s="93"/>
      <c r="R903" s="90"/>
    </row>
    <row r="904" spans="1:18" x14ac:dyDescent="0.2">
      <c r="A904" s="23"/>
      <c r="B904" s="97"/>
      <c r="C904" s="97"/>
      <c r="D904" s="24"/>
      <c r="E904" s="24"/>
      <c r="F904" s="24"/>
      <c r="G904" s="24"/>
      <c r="H904" s="24"/>
      <c r="I904" s="24"/>
      <c r="J904" s="24"/>
      <c r="K904" s="36"/>
      <c r="L904" s="26"/>
      <c r="M904" s="26"/>
      <c r="N904" s="79"/>
      <c r="O904" s="22"/>
      <c r="P904" s="22"/>
      <c r="Q904" s="93"/>
      <c r="R904" s="90"/>
    </row>
    <row r="905" spans="1:18" x14ac:dyDescent="0.2">
      <c r="A905" s="23"/>
      <c r="B905" s="97"/>
      <c r="C905" s="97"/>
      <c r="D905" s="24"/>
      <c r="E905" s="24"/>
      <c r="F905" s="24"/>
      <c r="G905" s="24"/>
      <c r="H905" s="24"/>
      <c r="I905" s="24"/>
      <c r="J905" s="24"/>
      <c r="K905" s="36"/>
      <c r="L905" s="26"/>
      <c r="M905" s="26"/>
      <c r="N905" s="79"/>
      <c r="O905" s="22"/>
      <c r="P905" s="22"/>
      <c r="Q905" s="93"/>
      <c r="R905" s="90"/>
    </row>
    <row r="906" spans="1:18" x14ac:dyDescent="0.2">
      <c r="A906" s="23"/>
      <c r="B906" s="97"/>
      <c r="C906" s="97"/>
      <c r="D906" s="24"/>
      <c r="E906" s="24"/>
      <c r="F906" s="24"/>
      <c r="G906" s="24"/>
      <c r="H906" s="24"/>
      <c r="I906" s="24"/>
      <c r="J906" s="24"/>
      <c r="K906" s="36"/>
      <c r="L906" s="26"/>
      <c r="M906" s="26"/>
      <c r="N906" s="79"/>
      <c r="O906" s="22"/>
      <c r="P906" s="22"/>
      <c r="Q906" s="93"/>
      <c r="R906" s="90"/>
    </row>
    <row r="907" spans="1:18" x14ac:dyDescent="0.2">
      <c r="A907" s="23"/>
      <c r="B907" s="97"/>
      <c r="C907" s="97"/>
      <c r="D907" s="24"/>
      <c r="E907" s="24"/>
      <c r="F907" s="24"/>
      <c r="G907" s="24"/>
      <c r="H907" s="24"/>
      <c r="I907" s="24"/>
      <c r="J907" s="24"/>
      <c r="K907" s="36"/>
      <c r="L907" s="26"/>
      <c r="M907" s="26"/>
      <c r="N907" s="79"/>
      <c r="O907" s="22"/>
      <c r="P907" s="22"/>
      <c r="Q907" s="93"/>
      <c r="R907" s="90"/>
    </row>
    <row r="908" spans="1:18" x14ac:dyDescent="0.2">
      <c r="A908" s="23"/>
      <c r="B908" s="97"/>
      <c r="C908" s="97"/>
      <c r="D908" s="24"/>
      <c r="E908" s="24"/>
      <c r="F908" s="24"/>
      <c r="G908" s="24"/>
      <c r="H908" s="24"/>
      <c r="I908" s="24"/>
      <c r="J908" s="24"/>
      <c r="K908" s="36"/>
      <c r="L908" s="26"/>
      <c r="M908" s="26"/>
      <c r="N908" s="79"/>
      <c r="O908" s="22"/>
      <c r="P908" s="22"/>
      <c r="Q908" s="93"/>
      <c r="R908" s="90"/>
    </row>
    <row r="909" spans="1:18" x14ac:dyDescent="0.2">
      <c r="A909" s="23"/>
      <c r="B909" s="97"/>
      <c r="C909" s="97"/>
      <c r="D909" s="24"/>
      <c r="E909" s="24"/>
      <c r="F909" s="24"/>
      <c r="G909" s="24"/>
      <c r="H909" s="24"/>
      <c r="I909" s="24"/>
      <c r="J909" s="24"/>
      <c r="K909" s="36"/>
      <c r="L909" s="26"/>
      <c r="M909" s="26"/>
      <c r="N909" s="79"/>
      <c r="O909" s="22"/>
      <c r="P909" s="22"/>
      <c r="Q909" s="93"/>
      <c r="R909" s="90"/>
    </row>
    <row r="910" spans="1:18" x14ac:dyDescent="0.2">
      <c r="A910" s="23"/>
      <c r="B910" s="97"/>
      <c r="C910" s="97"/>
      <c r="D910" s="24"/>
      <c r="E910" s="24"/>
      <c r="F910" s="24"/>
      <c r="G910" s="24"/>
      <c r="H910" s="24"/>
      <c r="I910" s="24"/>
      <c r="J910" s="24"/>
      <c r="K910" s="36"/>
      <c r="L910" s="26"/>
      <c r="M910" s="26"/>
      <c r="N910" s="79"/>
      <c r="O910" s="22"/>
      <c r="P910" s="22"/>
      <c r="Q910" s="93"/>
      <c r="R910" s="90"/>
    </row>
    <row r="911" spans="1:18" x14ac:dyDescent="0.2">
      <c r="A911" s="23"/>
      <c r="B911" s="97"/>
      <c r="C911" s="97"/>
      <c r="D911" s="24"/>
      <c r="E911" s="24"/>
      <c r="F911" s="24"/>
      <c r="G911" s="24"/>
      <c r="H911" s="24"/>
      <c r="I911" s="24"/>
      <c r="J911" s="24"/>
      <c r="K911" s="36"/>
      <c r="L911" s="36"/>
      <c r="M911" s="36"/>
      <c r="N911" s="80"/>
      <c r="O911" s="81"/>
      <c r="P911" s="81"/>
      <c r="Q911" s="94"/>
      <c r="R911" s="68"/>
    </row>
    <row r="912" spans="1:18" x14ac:dyDescent="0.2">
      <c r="A912" s="23"/>
      <c r="B912" s="97"/>
      <c r="C912" s="97"/>
      <c r="D912" s="24"/>
      <c r="E912" s="24"/>
      <c r="F912" s="24"/>
      <c r="G912" s="24"/>
      <c r="H912" s="24"/>
      <c r="I912" s="24"/>
      <c r="J912" s="24"/>
      <c r="K912" s="26"/>
      <c r="L912" s="26"/>
      <c r="M912" s="26"/>
      <c r="N912" s="79"/>
      <c r="O912" s="22"/>
      <c r="P912" s="22"/>
      <c r="Q912" s="93"/>
      <c r="R912" s="90"/>
    </row>
    <row r="913" spans="1:18" x14ac:dyDescent="0.2">
      <c r="A913" s="23"/>
      <c r="B913" s="97"/>
      <c r="C913" s="97"/>
      <c r="D913" s="24"/>
      <c r="E913" s="24"/>
      <c r="F913" s="24"/>
      <c r="G913" s="24"/>
      <c r="H913" s="24"/>
      <c r="I913" s="24"/>
      <c r="J913" s="24"/>
      <c r="K913" s="26"/>
      <c r="L913" s="26"/>
      <c r="M913" s="26"/>
      <c r="N913" s="79"/>
      <c r="O913" s="22"/>
      <c r="P913" s="22"/>
      <c r="Q913" s="93"/>
      <c r="R913" s="90"/>
    </row>
    <row r="914" spans="1:18" x14ac:dyDescent="0.2">
      <c r="A914" s="23"/>
      <c r="B914" s="97"/>
      <c r="C914" s="97"/>
      <c r="D914" s="24"/>
      <c r="E914" s="24"/>
      <c r="F914" s="24"/>
      <c r="G914" s="24"/>
      <c r="H914" s="24"/>
      <c r="I914" s="24"/>
      <c r="J914" s="24"/>
      <c r="K914" s="26"/>
      <c r="L914" s="26"/>
      <c r="M914" s="26"/>
      <c r="N914" s="79"/>
      <c r="O914" s="22"/>
      <c r="P914" s="22"/>
      <c r="Q914" s="93"/>
      <c r="R914" s="90"/>
    </row>
    <row r="915" spans="1:18" x14ac:dyDescent="0.2">
      <c r="A915" s="23"/>
      <c r="B915" s="97"/>
      <c r="C915" s="97"/>
      <c r="D915" s="24"/>
      <c r="E915" s="24"/>
      <c r="F915" s="24"/>
      <c r="G915" s="24"/>
      <c r="H915" s="24"/>
      <c r="I915" s="24"/>
      <c r="J915" s="24"/>
      <c r="K915" s="36"/>
      <c r="L915" s="26"/>
      <c r="M915" s="36"/>
      <c r="N915" s="79"/>
      <c r="O915" s="81"/>
      <c r="P915" s="81"/>
      <c r="Q915" s="94"/>
      <c r="R915" s="68"/>
    </row>
    <row r="916" spans="1:18" x14ac:dyDescent="0.2">
      <c r="A916" s="23"/>
      <c r="B916" s="97"/>
      <c r="C916" s="97"/>
      <c r="D916" s="24"/>
      <c r="E916" s="24"/>
      <c r="F916" s="24"/>
      <c r="G916" s="24"/>
      <c r="H916" s="24"/>
      <c r="I916" s="24"/>
      <c r="J916" s="24"/>
      <c r="K916" s="36"/>
      <c r="L916" s="26"/>
      <c r="M916" s="26"/>
      <c r="N916" s="79"/>
      <c r="O916" s="22"/>
      <c r="P916" s="22"/>
      <c r="Q916" s="93"/>
      <c r="R916" s="90"/>
    </row>
    <row r="917" spans="1:18" x14ac:dyDescent="0.2">
      <c r="A917" s="23"/>
      <c r="B917" s="97"/>
      <c r="C917" s="97"/>
      <c r="D917" s="24"/>
      <c r="E917" s="24"/>
      <c r="F917" s="24"/>
      <c r="G917" s="24"/>
      <c r="H917" s="24"/>
      <c r="I917" s="24"/>
      <c r="J917" s="24"/>
      <c r="K917" s="36"/>
      <c r="L917" s="36"/>
      <c r="M917" s="36"/>
      <c r="N917" s="80"/>
      <c r="O917" s="81"/>
      <c r="P917" s="81"/>
      <c r="Q917" s="94"/>
      <c r="R917" s="68"/>
    </row>
    <row r="918" spans="1:18" x14ac:dyDescent="0.2">
      <c r="A918" s="23"/>
      <c r="B918" s="97"/>
      <c r="C918" s="97"/>
      <c r="D918" s="24"/>
      <c r="E918" s="24"/>
      <c r="F918" s="24"/>
      <c r="G918" s="24"/>
      <c r="H918" s="24"/>
      <c r="I918" s="24"/>
      <c r="J918" s="24"/>
      <c r="K918" s="26"/>
      <c r="L918" s="26"/>
      <c r="M918" s="36"/>
      <c r="N918" s="79"/>
      <c r="O918" s="22"/>
      <c r="P918" s="22"/>
      <c r="Q918" s="93"/>
      <c r="R918" s="90"/>
    </row>
    <row r="919" spans="1:18" x14ac:dyDescent="0.2">
      <c r="A919" s="23"/>
      <c r="B919" s="97"/>
      <c r="C919" s="97"/>
      <c r="D919" s="24"/>
      <c r="E919" s="24"/>
      <c r="F919" s="24"/>
      <c r="G919" s="24"/>
      <c r="H919" s="24"/>
      <c r="I919" s="24"/>
      <c r="J919" s="24"/>
      <c r="K919" s="26"/>
      <c r="L919" s="26"/>
      <c r="M919" s="26"/>
      <c r="N919" s="79"/>
      <c r="O919" s="22"/>
      <c r="P919" s="22"/>
      <c r="Q919" s="93"/>
      <c r="R919" s="90"/>
    </row>
    <row r="920" spans="1:18" x14ac:dyDescent="0.2">
      <c r="A920" s="23"/>
      <c r="B920" s="97"/>
      <c r="C920" s="97"/>
      <c r="D920" s="24"/>
      <c r="E920" s="24"/>
      <c r="F920" s="24"/>
      <c r="G920" s="24"/>
      <c r="H920" s="24"/>
      <c r="I920" s="24"/>
      <c r="J920" s="24"/>
      <c r="K920" s="26"/>
      <c r="L920" s="26"/>
      <c r="M920" s="26"/>
      <c r="N920" s="79"/>
      <c r="O920" s="22"/>
      <c r="P920" s="22"/>
      <c r="Q920" s="93"/>
      <c r="R920" s="90"/>
    </row>
    <row r="921" spans="1:18" x14ac:dyDescent="0.2">
      <c r="A921" s="23"/>
      <c r="B921" s="97"/>
      <c r="C921" s="97"/>
      <c r="D921" s="24"/>
      <c r="E921" s="24"/>
      <c r="F921" s="24"/>
      <c r="G921" s="24"/>
      <c r="H921" s="24"/>
      <c r="I921" s="24"/>
      <c r="J921" s="24"/>
      <c r="K921" s="36"/>
      <c r="L921" s="26"/>
      <c r="M921" s="36"/>
      <c r="N921" s="80"/>
      <c r="O921" s="81"/>
      <c r="P921" s="81"/>
      <c r="Q921" s="94"/>
      <c r="R921" s="68"/>
    </row>
    <row r="922" spans="1:18" x14ac:dyDescent="0.2">
      <c r="A922" s="23"/>
      <c r="B922" s="97"/>
      <c r="C922" s="97"/>
      <c r="D922" s="24"/>
      <c r="E922" s="24"/>
      <c r="F922" s="24"/>
      <c r="G922" s="24"/>
      <c r="H922" s="24"/>
      <c r="I922" s="24"/>
      <c r="J922" s="24"/>
      <c r="K922" s="36"/>
      <c r="L922" s="26"/>
      <c r="M922" s="36"/>
      <c r="N922" s="80"/>
      <c r="O922" s="81"/>
      <c r="P922" s="81"/>
      <c r="Q922" s="94"/>
      <c r="R922" s="68"/>
    </row>
    <row r="923" spans="1:18" x14ac:dyDescent="0.2">
      <c r="A923" s="23"/>
      <c r="B923" s="97"/>
      <c r="C923" s="97"/>
      <c r="D923" s="24"/>
      <c r="E923" s="24"/>
      <c r="F923" s="24"/>
      <c r="G923" s="24"/>
      <c r="H923" s="24"/>
      <c r="I923" s="24"/>
      <c r="J923" s="24"/>
      <c r="K923" s="36"/>
      <c r="L923" s="26"/>
      <c r="M923" s="26"/>
      <c r="N923" s="80"/>
      <c r="O923" s="81"/>
      <c r="P923" s="81"/>
      <c r="Q923" s="94"/>
      <c r="R923" s="68"/>
    </row>
    <row r="924" spans="1:18" x14ac:dyDescent="0.2">
      <c r="A924" s="23"/>
      <c r="B924" s="97"/>
      <c r="C924" s="97"/>
      <c r="D924" s="24"/>
      <c r="E924" s="24"/>
      <c r="F924" s="24"/>
      <c r="G924" s="24"/>
      <c r="H924" s="24"/>
      <c r="I924" s="24"/>
      <c r="J924" s="24"/>
      <c r="K924" s="36"/>
      <c r="L924" s="26"/>
      <c r="M924" s="36"/>
      <c r="N924" s="80"/>
      <c r="O924" s="81"/>
      <c r="P924" s="81"/>
      <c r="Q924" s="94"/>
      <c r="R924" s="68"/>
    </row>
    <row r="925" spans="1:18" x14ac:dyDescent="0.2">
      <c r="A925" s="23"/>
      <c r="B925" s="97"/>
      <c r="C925" s="97"/>
      <c r="D925" s="24"/>
      <c r="E925" s="24"/>
      <c r="F925" s="24"/>
      <c r="G925" s="24"/>
      <c r="H925" s="24"/>
      <c r="I925" s="24"/>
      <c r="J925" s="24"/>
      <c r="K925" s="36"/>
      <c r="L925" s="26"/>
      <c r="M925" s="26"/>
      <c r="N925" s="80"/>
      <c r="O925" s="81"/>
      <c r="P925" s="81"/>
      <c r="Q925" s="94"/>
      <c r="R925" s="68"/>
    </row>
    <row r="926" spans="1:18" x14ac:dyDescent="0.2">
      <c r="A926" s="23"/>
      <c r="B926" s="97"/>
      <c r="C926" s="97"/>
      <c r="D926" s="24"/>
      <c r="E926" s="24"/>
      <c r="F926" s="24"/>
      <c r="G926" s="24"/>
      <c r="H926" s="24"/>
      <c r="I926" s="24"/>
      <c r="J926" s="24"/>
      <c r="K926" s="36"/>
      <c r="L926" s="26"/>
      <c r="M926" s="26"/>
      <c r="N926" s="80"/>
      <c r="O926" s="81"/>
      <c r="P926" s="81"/>
      <c r="Q926" s="94"/>
      <c r="R926" s="68"/>
    </row>
    <row r="927" spans="1:18" x14ac:dyDescent="0.2">
      <c r="A927" s="23"/>
      <c r="B927" s="97"/>
      <c r="C927" s="97"/>
      <c r="D927" s="24"/>
      <c r="E927" s="24"/>
      <c r="F927" s="24"/>
      <c r="G927" s="24"/>
      <c r="H927" s="24"/>
      <c r="I927" s="24"/>
      <c r="J927" s="24"/>
      <c r="K927" s="26"/>
      <c r="L927" s="26"/>
      <c r="M927" s="26"/>
      <c r="N927" s="80"/>
      <c r="O927" s="22"/>
      <c r="P927" s="22"/>
      <c r="Q927" s="93"/>
      <c r="R927" s="90"/>
    </row>
    <row r="928" spans="1:18" x14ac:dyDescent="0.2">
      <c r="A928" s="23"/>
      <c r="B928" s="97"/>
      <c r="C928" s="97"/>
      <c r="D928" s="24"/>
      <c r="E928" s="24"/>
      <c r="F928" s="24"/>
      <c r="G928" s="24"/>
      <c r="H928" s="24"/>
      <c r="I928" s="24"/>
      <c r="J928" s="24"/>
      <c r="K928" s="26"/>
      <c r="L928" s="26"/>
      <c r="M928" s="26"/>
      <c r="N928" s="80"/>
      <c r="O928" s="81"/>
      <c r="P928" s="81"/>
      <c r="Q928" s="94"/>
      <c r="R928" s="68"/>
    </row>
    <row r="929" spans="1:18" x14ac:dyDescent="0.2">
      <c r="A929" s="23"/>
      <c r="B929" s="97"/>
      <c r="C929" s="97"/>
      <c r="D929" s="24"/>
      <c r="E929" s="24"/>
      <c r="F929" s="24"/>
      <c r="G929" s="24"/>
      <c r="H929" s="24"/>
      <c r="I929" s="24"/>
      <c r="J929" s="24"/>
      <c r="K929" s="26"/>
      <c r="L929" s="26"/>
      <c r="M929" s="26"/>
      <c r="N929" s="80"/>
      <c r="O929" s="81"/>
      <c r="P929" s="81"/>
      <c r="Q929" s="94"/>
      <c r="R929" s="68"/>
    </row>
    <row r="930" spans="1:18" x14ac:dyDescent="0.2">
      <c r="A930" s="23"/>
      <c r="B930" s="97"/>
      <c r="C930" s="97"/>
      <c r="D930" s="24"/>
      <c r="E930" s="24"/>
      <c r="F930" s="24"/>
      <c r="G930" s="24"/>
      <c r="H930" s="24"/>
      <c r="I930" s="24"/>
      <c r="J930" s="24"/>
      <c r="K930" s="36"/>
      <c r="L930" s="26"/>
      <c r="M930" s="26"/>
      <c r="N930" s="80"/>
      <c r="O930" s="81"/>
      <c r="P930" s="81"/>
      <c r="Q930" s="94"/>
      <c r="R930" s="68"/>
    </row>
    <row r="931" spans="1:18" x14ac:dyDescent="0.2">
      <c r="A931" s="23"/>
      <c r="B931" s="97"/>
      <c r="C931" s="97"/>
      <c r="D931" s="24"/>
      <c r="E931" s="24"/>
      <c r="F931" s="24"/>
      <c r="G931" s="24"/>
      <c r="H931" s="24"/>
      <c r="I931" s="24"/>
      <c r="J931" s="24"/>
      <c r="K931" s="36"/>
      <c r="L931" s="26"/>
      <c r="M931" s="26"/>
      <c r="N931" s="80"/>
      <c r="O931" s="81"/>
      <c r="P931" s="81"/>
      <c r="Q931" s="94"/>
      <c r="R931" s="68"/>
    </row>
    <row r="932" spans="1:18" x14ac:dyDescent="0.2">
      <c r="A932" s="23"/>
      <c r="B932" s="97"/>
      <c r="C932" s="97"/>
      <c r="D932" s="24"/>
      <c r="E932" s="24"/>
      <c r="F932" s="24"/>
      <c r="G932" s="24"/>
      <c r="H932" s="24"/>
      <c r="I932" s="24"/>
      <c r="J932" s="24"/>
      <c r="K932" s="36"/>
      <c r="L932" s="26"/>
      <c r="M932" s="36"/>
      <c r="N932" s="80"/>
      <c r="O932" s="81"/>
      <c r="P932" s="81"/>
      <c r="Q932" s="94"/>
      <c r="R932" s="68"/>
    </row>
    <row r="933" spans="1:18" x14ac:dyDescent="0.2">
      <c r="A933" s="23"/>
      <c r="B933" s="97"/>
      <c r="C933" s="97"/>
      <c r="D933" s="24"/>
      <c r="E933" s="24"/>
      <c r="F933" s="24"/>
      <c r="G933" s="24"/>
      <c r="H933" s="24"/>
      <c r="I933" s="24"/>
      <c r="J933" s="24"/>
      <c r="K933" s="36"/>
      <c r="L933" s="26"/>
      <c r="M933" s="26"/>
      <c r="N933" s="80"/>
      <c r="O933" s="81"/>
      <c r="P933" s="81"/>
      <c r="Q933" s="94"/>
      <c r="R933" s="68"/>
    </row>
    <row r="934" spans="1:18" ht="26.25" customHeight="1" x14ac:dyDescent="0.2">
      <c r="A934" s="23"/>
      <c r="B934" s="97"/>
      <c r="C934" s="97"/>
      <c r="D934" s="24"/>
      <c r="E934" s="24"/>
      <c r="F934" s="24"/>
      <c r="G934" s="24"/>
      <c r="H934" s="24"/>
      <c r="I934" s="24"/>
      <c r="J934" s="24"/>
      <c r="K934" s="36"/>
      <c r="L934" s="26"/>
      <c r="M934" s="36"/>
      <c r="N934" s="80"/>
      <c r="O934" s="81"/>
      <c r="P934" s="81"/>
      <c r="Q934" s="94"/>
      <c r="R934" s="68"/>
    </row>
    <row r="935" spans="1:18" x14ac:dyDescent="0.2">
      <c r="A935" s="23"/>
      <c r="B935" s="97"/>
      <c r="C935" s="97"/>
      <c r="D935" s="24"/>
      <c r="E935" s="24"/>
      <c r="F935" s="24"/>
      <c r="G935" s="24"/>
      <c r="H935" s="24"/>
      <c r="I935" s="24"/>
      <c r="J935" s="24"/>
      <c r="K935" s="36"/>
      <c r="L935" s="26"/>
      <c r="M935" s="26"/>
      <c r="N935" s="80"/>
      <c r="O935" s="81"/>
      <c r="P935" s="81"/>
      <c r="Q935" s="94"/>
      <c r="R935" s="68"/>
    </row>
    <row r="936" spans="1:18" x14ac:dyDescent="0.2">
      <c r="A936" s="23"/>
      <c r="B936" s="97"/>
      <c r="C936" s="97"/>
      <c r="D936" s="24"/>
      <c r="E936" s="24"/>
      <c r="F936" s="24"/>
      <c r="G936" s="24"/>
      <c r="H936" s="24"/>
      <c r="I936" s="24"/>
      <c r="J936" s="24"/>
      <c r="K936" s="36"/>
      <c r="L936" s="26"/>
      <c r="M936" s="26"/>
      <c r="N936" s="80"/>
      <c r="O936" s="81"/>
      <c r="P936" s="81"/>
      <c r="Q936" s="94"/>
      <c r="R936" s="68"/>
    </row>
    <row r="937" spans="1:18" x14ac:dyDescent="0.2">
      <c r="A937" s="23"/>
      <c r="B937" s="97"/>
      <c r="C937" s="97"/>
      <c r="D937" s="24"/>
      <c r="E937" s="24"/>
      <c r="F937" s="24"/>
      <c r="G937" s="24"/>
      <c r="H937" s="24"/>
      <c r="I937" s="24"/>
      <c r="J937" s="24"/>
      <c r="K937" s="36"/>
      <c r="L937" s="26"/>
      <c r="M937" s="36"/>
      <c r="N937" s="80"/>
      <c r="O937" s="81"/>
      <c r="P937" s="81"/>
      <c r="Q937" s="94"/>
      <c r="R937" s="68"/>
    </row>
    <row r="938" spans="1:18" x14ac:dyDescent="0.2">
      <c r="A938" s="23"/>
      <c r="B938" s="97"/>
      <c r="C938" s="97"/>
      <c r="D938" s="24"/>
      <c r="E938" s="24"/>
      <c r="F938" s="24"/>
      <c r="G938" s="24"/>
      <c r="H938" s="24"/>
      <c r="I938" s="24"/>
      <c r="J938" s="24"/>
      <c r="K938" s="36"/>
      <c r="L938" s="26"/>
      <c r="M938" s="26"/>
      <c r="N938" s="80"/>
      <c r="O938" s="81"/>
      <c r="P938" s="81"/>
      <c r="Q938" s="94"/>
      <c r="R938" s="68"/>
    </row>
    <row r="939" spans="1:18" x14ac:dyDescent="0.2">
      <c r="A939" s="23"/>
      <c r="B939" s="97"/>
      <c r="C939" s="97"/>
      <c r="D939" s="24"/>
      <c r="E939" s="24"/>
      <c r="F939" s="24"/>
      <c r="G939" s="24"/>
      <c r="H939" s="24"/>
      <c r="I939" s="24"/>
      <c r="J939" s="24"/>
      <c r="K939" s="36"/>
      <c r="L939" s="26"/>
      <c r="M939" s="26"/>
      <c r="N939" s="80"/>
      <c r="O939" s="81"/>
      <c r="P939" s="81"/>
      <c r="Q939" s="94"/>
      <c r="R939" s="68"/>
    </row>
    <row r="940" spans="1:18" x14ac:dyDescent="0.2">
      <c r="A940" s="23"/>
      <c r="B940" s="97"/>
      <c r="C940" s="97"/>
      <c r="D940" s="24"/>
      <c r="E940" s="24"/>
      <c r="F940" s="24"/>
      <c r="G940" s="24"/>
      <c r="H940" s="24"/>
      <c r="I940" s="24"/>
      <c r="J940" s="24"/>
      <c r="K940" s="36"/>
      <c r="L940" s="26"/>
      <c r="M940" s="26"/>
      <c r="N940" s="80"/>
      <c r="O940" s="81"/>
      <c r="P940" s="81"/>
      <c r="Q940" s="94"/>
      <c r="R940" s="68"/>
    </row>
    <row r="941" spans="1:18" x14ac:dyDescent="0.2">
      <c r="A941" s="23"/>
      <c r="B941" s="97"/>
      <c r="C941" s="97"/>
      <c r="D941" s="24"/>
      <c r="E941" s="24"/>
      <c r="F941" s="24"/>
      <c r="G941" s="24"/>
      <c r="H941" s="24"/>
      <c r="I941" s="24"/>
      <c r="J941" s="24"/>
      <c r="K941" s="36"/>
      <c r="L941" s="26"/>
      <c r="M941" s="26"/>
      <c r="N941" s="80"/>
      <c r="O941" s="81"/>
      <c r="P941" s="81"/>
      <c r="Q941" s="94"/>
      <c r="R941" s="68"/>
    </row>
    <row r="942" spans="1:18" x14ac:dyDescent="0.2">
      <c r="A942" s="23"/>
      <c r="B942" s="97"/>
      <c r="C942" s="97"/>
      <c r="D942" s="24"/>
      <c r="E942" s="24"/>
      <c r="F942" s="24"/>
      <c r="G942" s="24"/>
      <c r="H942" s="24"/>
      <c r="I942" s="24"/>
      <c r="J942" s="24"/>
      <c r="K942" s="36"/>
      <c r="L942" s="26"/>
      <c r="M942" s="26"/>
      <c r="N942" s="80"/>
      <c r="O942" s="81"/>
      <c r="P942" s="81"/>
      <c r="Q942" s="94"/>
      <c r="R942" s="68"/>
    </row>
    <row r="943" spans="1:18" x14ac:dyDescent="0.2">
      <c r="A943" s="23"/>
      <c r="B943" s="97"/>
      <c r="C943" s="97"/>
      <c r="D943" s="24"/>
      <c r="E943" s="24"/>
      <c r="F943" s="24"/>
      <c r="G943" s="24"/>
      <c r="H943" s="24"/>
      <c r="I943" s="24"/>
      <c r="J943" s="24"/>
      <c r="K943" s="36"/>
      <c r="L943" s="26"/>
      <c r="M943" s="26"/>
      <c r="N943" s="80"/>
      <c r="O943" s="81"/>
      <c r="P943" s="81"/>
      <c r="Q943" s="94"/>
      <c r="R943" s="68"/>
    </row>
    <row r="944" spans="1:18" x14ac:dyDescent="0.2">
      <c r="A944" s="23"/>
      <c r="B944" s="97"/>
      <c r="C944" s="97"/>
      <c r="D944" s="24"/>
      <c r="E944" s="24"/>
      <c r="F944" s="24"/>
      <c r="G944" s="24"/>
      <c r="H944" s="24"/>
      <c r="I944" s="24"/>
      <c r="J944" s="24"/>
      <c r="K944" s="36"/>
      <c r="L944" s="26"/>
      <c r="M944" s="26"/>
      <c r="N944" s="80"/>
      <c r="O944" s="81"/>
      <c r="P944" s="81"/>
      <c r="Q944" s="94"/>
      <c r="R944" s="68"/>
    </row>
    <row r="945" spans="1:18" x14ac:dyDescent="0.2">
      <c r="A945" s="23"/>
      <c r="B945" s="97"/>
      <c r="C945" s="97"/>
      <c r="D945" s="24"/>
      <c r="E945" s="24"/>
      <c r="F945" s="24"/>
      <c r="G945" s="24"/>
      <c r="H945" s="24"/>
      <c r="I945" s="24"/>
      <c r="J945" s="24"/>
      <c r="K945" s="36"/>
      <c r="L945" s="26"/>
      <c r="M945" s="26"/>
      <c r="N945" s="80"/>
      <c r="O945" s="81"/>
      <c r="P945" s="81"/>
      <c r="Q945" s="94"/>
      <c r="R945" s="68"/>
    </row>
    <row r="946" spans="1:18" x14ac:dyDescent="0.2">
      <c r="A946" s="23"/>
      <c r="B946" s="97"/>
      <c r="C946" s="97"/>
      <c r="D946" s="24"/>
      <c r="E946" s="24"/>
      <c r="F946" s="24"/>
      <c r="G946" s="24"/>
      <c r="H946" s="24"/>
      <c r="I946" s="24"/>
      <c r="J946" s="24"/>
      <c r="K946" s="36"/>
      <c r="L946" s="26"/>
      <c r="M946" s="26"/>
      <c r="N946" s="80"/>
      <c r="O946" s="81"/>
      <c r="P946" s="81"/>
      <c r="Q946" s="94"/>
      <c r="R946" s="68"/>
    </row>
    <row r="947" spans="1:18" x14ac:dyDescent="0.2">
      <c r="A947" s="23"/>
      <c r="B947" s="97"/>
      <c r="C947" s="97"/>
      <c r="D947" s="24"/>
      <c r="E947" s="24"/>
      <c r="F947" s="24"/>
      <c r="G947" s="24"/>
      <c r="H947" s="24"/>
      <c r="I947" s="24"/>
      <c r="J947" s="24"/>
      <c r="K947" s="36"/>
      <c r="L947" s="26"/>
      <c r="M947" s="26"/>
      <c r="N947" s="80"/>
      <c r="O947" s="81"/>
      <c r="P947" s="81"/>
      <c r="Q947" s="94"/>
      <c r="R947" s="68"/>
    </row>
    <row r="948" spans="1:18" x14ac:dyDescent="0.2">
      <c r="A948" s="23"/>
      <c r="B948" s="97"/>
      <c r="C948" s="97"/>
      <c r="D948" s="24"/>
      <c r="E948" s="24"/>
      <c r="F948" s="24"/>
      <c r="G948" s="24"/>
      <c r="H948" s="24"/>
      <c r="I948" s="24"/>
      <c r="J948" s="24"/>
      <c r="K948" s="36"/>
      <c r="L948" s="26"/>
      <c r="M948" s="26"/>
      <c r="N948" s="80"/>
      <c r="O948" s="81"/>
      <c r="P948" s="81"/>
      <c r="Q948" s="94"/>
      <c r="R948" s="68"/>
    </row>
    <row r="949" spans="1:18" x14ac:dyDescent="0.2">
      <c r="A949" s="23"/>
      <c r="B949" s="97"/>
      <c r="C949" s="97"/>
      <c r="D949" s="24"/>
      <c r="E949" s="24"/>
      <c r="F949" s="24"/>
      <c r="G949" s="24"/>
      <c r="H949" s="24"/>
      <c r="I949" s="24"/>
      <c r="J949" s="24"/>
      <c r="K949" s="36"/>
      <c r="L949" s="26"/>
      <c r="M949" s="26"/>
      <c r="N949" s="80"/>
      <c r="O949" s="81"/>
      <c r="P949" s="81"/>
      <c r="Q949" s="94"/>
      <c r="R949" s="68"/>
    </row>
    <row r="950" spans="1:18" x14ac:dyDescent="0.2">
      <c r="A950" s="23"/>
      <c r="B950" s="97"/>
      <c r="C950" s="97"/>
      <c r="D950" s="24"/>
      <c r="E950" s="24"/>
      <c r="F950" s="24"/>
      <c r="G950" s="24"/>
      <c r="H950" s="24"/>
      <c r="I950" s="24"/>
      <c r="J950" s="24"/>
      <c r="K950" s="36"/>
      <c r="L950" s="26"/>
      <c r="M950" s="26"/>
      <c r="N950" s="80"/>
      <c r="O950" s="81"/>
      <c r="P950" s="81"/>
      <c r="Q950" s="94"/>
      <c r="R950" s="68"/>
    </row>
    <row r="951" spans="1:18" x14ac:dyDescent="0.2">
      <c r="A951" s="23"/>
      <c r="B951" s="97"/>
      <c r="C951" s="97"/>
      <c r="D951" s="24"/>
      <c r="E951" s="24"/>
      <c r="F951" s="24"/>
      <c r="G951" s="24"/>
      <c r="H951" s="24"/>
      <c r="I951" s="24"/>
      <c r="J951" s="24"/>
      <c r="K951" s="36"/>
      <c r="L951" s="26"/>
      <c r="M951" s="26"/>
      <c r="N951" s="80"/>
      <c r="O951" s="81"/>
      <c r="P951" s="81"/>
      <c r="Q951" s="94"/>
      <c r="R951" s="68"/>
    </row>
    <row r="952" spans="1:18" x14ac:dyDescent="0.2">
      <c r="A952" s="23"/>
      <c r="B952" s="97"/>
      <c r="C952" s="97"/>
      <c r="D952" s="24"/>
      <c r="E952" s="24"/>
      <c r="F952" s="24"/>
      <c r="G952" s="24"/>
      <c r="H952" s="24"/>
      <c r="I952" s="24"/>
      <c r="J952" s="24"/>
      <c r="K952" s="36"/>
      <c r="L952" s="26"/>
      <c r="M952" s="26"/>
      <c r="N952" s="80"/>
      <c r="O952" s="81"/>
      <c r="P952" s="81"/>
      <c r="Q952" s="94"/>
      <c r="R952" s="68"/>
    </row>
    <row r="953" spans="1:18" x14ac:dyDescent="0.2">
      <c r="A953" s="23"/>
      <c r="B953" s="97"/>
      <c r="C953" s="97"/>
      <c r="D953" s="24"/>
      <c r="E953" s="24"/>
      <c r="F953" s="24"/>
      <c r="G953" s="24"/>
      <c r="H953" s="24"/>
      <c r="I953" s="24"/>
      <c r="J953" s="24"/>
      <c r="K953" s="36"/>
      <c r="L953" s="26"/>
      <c r="M953" s="26"/>
      <c r="N953" s="80"/>
      <c r="O953" s="81"/>
      <c r="P953" s="81"/>
      <c r="Q953" s="94"/>
      <c r="R953" s="68"/>
    </row>
    <row r="954" spans="1:18" x14ac:dyDescent="0.2">
      <c r="A954" s="23"/>
      <c r="B954" s="97"/>
      <c r="C954" s="97"/>
      <c r="D954" s="24"/>
      <c r="E954" s="24"/>
      <c r="F954" s="24"/>
      <c r="G954" s="24"/>
      <c r="H954" s="24"/>
      <c r="I954" s="24"/>
      <c r="J954" s="24"/>
      <c r="K954" s="36"/>
      <c r="L954" s="26"/>
      <c r="M954" s="26"/>
      <c r="N954" s="80"/>
      <c r="O954" s="81"/>
      <c r="P954" s="81"/>
      <c r="Q954" s="94"/>
      <c r="R954" s="68"/>
    </row>
    <row r="955" spans="1:18" x14ac:dyDescent="0.2">
      <c r="A955" s="23"/>
      <c r="B955" s="97"/>
      <c r="C955" s="97"/>
      <c r="D955" s="24"/>
      <c r="E955" s="24"/>
      <c r="F955" s="24"/>
      <c r="G955" s="24"/>
      <c r="H955" s="24"/>
      <c r="I955" s="24"/>
      <c r="J955" s="24"/>
      <c r="K955" s="36"/>
      <c r="L955" s="26"/>
      <c r="M955" s="26"/>
      <c r="N955" s="80"/>
      <c r="O955" s="81"/>
      <c r="P955" s="81"/>
      <c r="Q955" s="94"/>
      <c r="R955" s="68"/>
    </row>
    <row r="956" spans="1:18" x14ac:dyDescent="0.2">
      <c r="A956" s="23"/>
      <c r="B956" s="97"/>
      <c r="C956" s="97"/>
      <c r="D956" s="24"/>
      <c r="E956" s="24"/>
      <c r="F956" s="24"/>
      <c r="G956" s="24"/>
      <c r="H956" s="24"/>
      <c r="I956" s="24"/>
      <c r="J956" s="24"/>
      <c r="K956" s="36"/>
      <c r="L956" s="26"/>
      <c r="M956" s="26"/>
      <c r="N956" s="80"/>
      <c r="O956" s="81"/>
      <c r="P956" s="81"/>
      <c r="Q956" s="94"/>
      <c r="R956" s="68"/>
    </row>
    <row r="957" spans="1:18" x14ac:dyDescent="0.2">
      <c r="A957" s="23"/>
      <c r="B957" s="97"/>
      <c r="C957" s="97"/>
      <c r="D957" s="24"/>
      <c r="E957" s="24"/>
      <c r="F957" s="24"/>
      <c r="G957" s="24"/>
      <c r="H957" s="24"/>
      <c r="I957" s="24"/>
      <c r="J957" s="24"/>
      <c r="K957" s="36"/>
      <c r="L957" s="26"/>
      <c r="M957" s="26"/>
      <c r="N957" s="80"/>
      <c r="O957" s="81"/>
      <c r="P957" s="81"/>
      <c r="Q957" s="94"/>
      <c r="R957" s="68"/>
    </row>
    <row r="958" spans="1:18" x14ac:dyDescent="0.2">
      <c r="A958" s="23"/>
      <c r="B958" s="97"/>
      <c r="C958" s="97"/>
      <c r="D958" s="24"/>
      <c r="E958" s="24"/>
      <c r="F958" s="24"/>
      <c r="G958" s="24"/>
      <c r="H958" s="24"/>
      <c r="I958" s="24"/>
      <c r="J958" s="24"/>
      <c r="K958" s="36"/>
      <c r="L958" s="26"/>
      <c r="M958" s="26"/>
      <c r="N958" s="80"/>
      <c r="O958" s="81"/>
      <c r="P958" s="81"/>
      <c r="Q958" s="94"/>
      <c r="R958" s="68"/>
    </row>
  </sheetData>
  <autoFilter ref="A5:R958"/>
  <mergeCells count="6">
    <mergeCell ref="K4:M4"/>
    <mergeCell ref="D1:M1"/>
    <mergeCell ref="D2:F2"/>
    <mergeCell ref="G2:I2"/>
    <mergeCell ref="D4:F4"/>
    <mergeCell ref="G4:I4"/>
  </mergeCells>
  <phoneticPr fontId="34" type="noConversion"/>
  <conditionalFormatting sqref="A6:A1048576">
    <cfRule type="duplicateValues" dxfId="17" priority="1"/>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64596" r:id="rId4" name="ComboBox2">
          <controlPr defaultSize="0" autoLine="0" linkedCell="#REF!" listFillRange="#REF!" r:id="rId5">
            <anchor moveWithCells="1">
              <from>
                <xdr:col>6</xdr:col>
                <xdr:colOff>238125</xdr:colOff>
                <xdr:row>1</xdr:row>
                <xdr:rowOff>228600</xdr:rowOff>
              </from>
              <to>
                <xdr:col>8</xdr:col>
                <xdr:colOff>1943100</xdr:colOff>
                <xdr:row>2</xdr:row>
                <xdr:rowOff>285750</xdr:rowOff>
              </to>
            </anchor>
          </controlPr>
        </control>
      </mc:Choice>
      <mc:Fallback>
        <control shapeId="64596" r:id="rId4" name="ComboBox2"/>
      </mc:Fallback>
    </mc:AlternateContent>
    <mc:AlternateContent xmlns:mc="http://schemas.openxmlformats.org/markup-compatibility/2006">
      <mc:Choice Requires="x14">
        <control shapeId="64597" r:id="rId6" name="ComboBox1">
          <controlPr defaultSize="0" autoLine="0" linkedCell="#REF!" listFillRange="#REF!" r:id="rId7">
            <anchor moveWithCells="1">
              <from>
                <xdr:col>3</xdr:col>
                <xdr:colOff>1066800</xdr:colOff>
                <xdr:row>1</xdr:row>
                <xdr:rowOff>266700</xdr:rowOff>
              </from>
              <to>
                <xdr:col>5</xdr:col>
                <xdr:colOff>2247900</xdr:colOff>
                <xdr:row>2</xdr:row>
                <xdr:rowOff>295275</xdr:rowOff>
              </to>
            </anchor>
          </controlPr>
        </control>
      </mc:Choice>
      <mc:Fallback>
        <control shapeId="64597" r:id="rId6" name="ComboBox1"/>
      </mc:Fallback>
    </mc:AlternateContent>
    <mc:AlternateContent xmlns:mc="http://schemas.openxmlformats.org/markup-compatibility/2006">
      <mc:Choice Requires="x14">
        <control shapeId="64678" r:id="rId8" name="Button 166">
          <controlPr defaultSize="0" print="0" autoFill="0" autoPict="0" macro="[2]!AssignSSV">
            <anchor moveWithCells="1" sizeWithCells="1">
              <from>
                <xdr:col>0</xdr:col>
                <xdr:colOff>276225</xdr:colOff>
                <xdr:row>0</xdr:row>
                <xdr:rowOff>123825</xdr:rowOff>
              </from>
              <to>
                <xdr:col>0</xdr:col>
                <xdr:colOff>1952625</xdr:colOff>
                <xdr:row>1</xdr:row>
                <xdr:rowOff>123825</xdr:rowOff>
              </to>
            </anchor>
          </controlPr>
        </control>
      </mc:Choice>
    </mc:AlternateContent>
    <mc:AlternateContent xmlns:mc="http://schemas.openxmlformats.org/markup-compatibility/2006">
      <mc:Choice Requires="x14">
        <control shapeId="64679" r:id="rId9" name="Button 167">
          <controlPr defaultSize="0" print="0" autoFill="0" autoPict="0" macro="[2]!search_field">
            <anchor moveWithCells="1" sizeWithCells="1">
              <from>
                <xdr:col>0</xdr:col>
                <xdr:colOff>285750</xdr:colOff>
                <xdr:row>2</xdr:row>
                <xdr:rowOff>104775</xdr:rowOff>
              </from>
              <to>
                <xdr:col>0</xdr:col>
                <xdr:colOff>1962150</xdr:colOff>
                <xdr:row>3</xdr:row>
                <xdr:rowOff>152400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CONTROL!$M$4:$M$6</xm:f>
          </x14:formula1>
          <xm:sqref>C6:C1048576</xm:sqref>
        </x14:dataValidation>
        <x14:dataValidation type="list" showDropDown="1" showInputMessage="1" showErrorMessage="1" errorTitle="WRONG FIELD NAME" error="The field name you entered was checked against all fields in SP+: please, check your spelling">
          <x14:formula1>
            <xm:f>CONTROL!$T$4:$T$5322</xm:f>
          </x14:formula1>
          <xm:sqref>A6:A1048576</xm:sqref>
        </x14:dataValidation>
        <x14:dataValidation type="list" showInputMessage="1" showErrorMessage="1">
          <x14:formula1>
            <xm:f>CONTROL!$O$4:$O$40</xm:f>
          </x14:formula1>
          <xm:sqref>C2</xm:sqref>
        </x14:dataValidation>
        <x14:dataValidation type="list" showInputMessage="1" showErrorMessage="1">
          <x14:formula1>
            <xm:f>CONTROL!$M$4:$M$6</xm:f>
          </x14:formula1>
          <xm:sqref>C3</xm:sqref>
        </x14:dataValidation>
        <x14:dataValidation type="list" showInputMessage="1" showErrorMessage="1">
          <x14:formula1>
            <xm:f>CONTROL!$K$4:$K$8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9" bestFit="1" customWidth="1"/>
    <col min="3" max="3" width="13.85546875" bestFit="1" customWidth="1"/>
    <col min="4" max="5" width="70.140625" style="9" customWidth="1"/>
    <col min="6" max="6" width="30.42578125" bestFit="1" customWidth="1"/>
    <col min="7" max="7" width="37.5703125" bestFit="1" customWidth="1"/>
    <col min="8" max="8" width="17.28515625" bestFit="1" customWidth="1"/>
    <col min="9" max="9" width="33.28515625" style="9" customWidth="1"/>
    <col min="10" max="10" width="230.42578125" style="9" customWidth="1"/>
    <col min="14" max="14" width="11.28515625" customWidth="1"/>
    <col min="15" max="15" width="11.7109375" customWidth="1"/>
    <col min="20" max="20" width="9.7109375" customWidth="1"/>
  </cols>
  <sheetData>
    <row r="1" spans="1:24" ht="13.5" thickBot="1" x14ac:dyDescent="0.25">
      <c r="B1" s="52" t="s">
        <v>127</v>
      </c>
      <c r="C1" s="53" t="s">
        <v>128</v>
      </c>
      <c r="D1" s="54" t="s">
        <v>158</v>
      </c>
      <c r="E1" s="54" t="s">
        <v>173</v>
      </c>
      <c r="F1" s="53" t="s">
        <v>129</v>
      </c>
      <c r="G1" s="53" t="s">
        <v>130</v>
      </c>
      <c r="H1" s="53" t="s">
        <v>12</v>
      </c>
      <c r="I1" s="54" t="s">
        <v>13</v>
      </c>
      <c r="J1" s="54" t="s">
        <v>131</v>
      </c>
      <c r="K1" s="10" t="s">
        <v>14</v>
      </c>
      <c r="M1" s="71" t="s">
        <v>161</v>
      </c>
      <c r="N1" s="72"/>
      <c r="O1" s="73"/>
      <c r="P1" s="18"/>
      <c r="Q1" s="18"/>
      <c r="R1" s="71" t="s">
        <v>163</v>
      </c>
      <c r="S1" s="72"/>
      <c r="T1" s="73"/>
      <c r="U1" s="18"/>
      <c r="V1" s="71" t="s">
        <v>164</v>
      </c>
      <c r="W1" s="72"/>
      <c r="X1" s="73"/>
    </row>
    <row r="2" spans="1:24" s="18" customFormat="1" ht="16.5" thickBot="1" x14ac:dyDescent="0.3">
      <c r="A2"/>
      <c r="B2" s="135" t="s">
        <v>188</v>
      </c>
      <c r="C2" s="136"/>
      <c r="D2" s="136"/>
      <c r="E2" s="136"/>
      <c r="F2" s="136"/>
      <c r="G2" s="136"/>
      <c r="H2" s="136"/>
      <c r="I2" s="136"/>
      <c r="J2" s="136"/>
      <c r="K2" s="49" t="str">
        <f>MID(B2,FIND("=",B2)+1,2)</f>
        <v>BD</v>
      </c>
      <c r="M2" s="74"/>
      <c r="N2" s="75"/>
      <c r="O2" s="76"/>
      <c r="R2" s="74"/>
      <c r="S2" s="75"/>
      <c r="T2" s="76"/>
      <c r="V2" s="74"/>
      <c r="W2" s="75"/>
      <c r="X2" s="76"/>
    </row>
    <row r="3" spans="1:24" x14ac:dyDescent="0.2">
      <c r="B3" s="141" t="s">
        <v>11</v>
      </c>
      <c r="C3" s="43" t="s">
        <v>40</v>
      </c>
      <c r="D3" s="44"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44"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44"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44"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44"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44"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44"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57" t="s">
        <v>160</v>
      </c>
      <c r="N3" s="58" t="s">
        <v>26</v>
      </c>
      <c r="O3" s="61" t="s">
        <v>162</v>
      </c>
      <c r="R3" s="57" t="s">
        <v>160</v>
      </c>
      <c r="S3" s="58" t="s">
        <v>98</v>
      </c>
      <c r="T3" s="61" t="s">
        <v>162</v>
      </c>
      <c r="V3" s="57" t="s">
        <v>26</v>
      </c>
      <c r="W3" s="58" t="s">
        <v>98</v>
      </c>
      <c r="X3" s="62" t="s">
        <v>162</v>
      </c>
    </row>
    <row r="4" spans="1:24" x14ac:dyDescent="0.2">
      <c r="B4" s="140"/>
      <c r="C4" s="41" t="s">
        <v>41</v>
      </c>
      <c r="D4" s="45" t="e">
        <f t="shared" ca="1" si="0"/>
        <v>#REF!</v>
      </c>
      <c r="E4" s="44" t="e">
        <f t="shared" ca="1" si="1"/>
        <v>#REF!</v>
      </c>
      <c r="F4" s="45" t="e">
        <f t="shared" ca="1" si="2"/>
        <v>#REF!</v>
      </c>
      <c r="G4" s="45" t="e">
        <f t="shared" ca="1" si="3"/>
        <v>#REF!</v>
      </c>
      <c r="H4" s="45" t="e">
        <f t="shared" ca="1" si="4"/>
        <v>#REF!</v>
      </c>
      <c r="I4" s="45" t="e">
        <f t="shared" ca="1" si="5"/>
        <v>#REF!</v>
      </c>
      <c r="J4" s="45" t="e">
        <f t="shared" ca="1" si="6"/>
        <v>#REF!</v>
      </c>
      <c r="M4" s="43" t="s">
        <v>40</v>
      </c>
      <c r="N4" s="59" t="s">
        <v>40</v>
      </c>
      <c r="O4" s="63" t="str">
        <f t="shared" ref="O4:O27" si="7">IF(OR(IF(ISNA(VLOOKUP(M4,$N$4:$N$130,1,)),FALSE,TRUE),IF(ISNA(VLOOKUP(N4,$M$4:$M$130,1,)),FALSE,TRUE))=FALSE, "no match","")</f>
        <v/>
      </c>
      <c r="R4" s="43" t="s">
        <v>40</v>
      </c>
      <c r="S4" s="59" t="s">
        <v>40</v>
      </c>
      <c r="T4" s="63" t="str">
        <f t="shared" ref="T4:T27" si="8">IF(OR(IF(ISNA(VLOOKUP(R4,$S$4:$S$130,1,)),FALSE,TRUE),IF(ISNA(VLOOKUP(S4,$R$4:$R$130,1,)),FALSE,TRUE))=FALSE, "no match","")</f>
        <v/>
      </c>
      <c r="V4" s="43" t="s">
        <v>40</v>
      </c>
      <c r="W4" s="59" t="s">
        <v>40</v>
      </c>
      <c r="X4" s="63" t="str">
        <f t="shared" ref="X4:X27" si="9">IF(OR(IF(ISNA(VLOOKUP(V4,$W$4:$W$77,1,)),FALSE,TRUE),IF(ISNA(VLOOKUP(W4,$V$4:$V$77,1,)),FALSE,TRUE))=FALSE, "no match","")</f>
        <v/>
      </c>
    </row>
    <row r="5" spans="1:24" x14ac:dyDescent="0.2">
      <c r="B5" s="140"/>
      <c r="C5" s="41" t="s">
        <v>52</v>
      </c>
      <c r="D5" s="45" t="e">
        <f t="shared" ca="1" si="0"/>
        <v>#REF!</v>
      </c>
      <c r="E5" s="44" t="e">
        <f t="shared" ca="1" si="1"/>
        <v>#REF!</v>
      </c>
      <c r="F5" s="45" t="e">
        <f t="shared" ca="1" si="2"/>
        <v>#REF!</v>
      </c>
      <c r="G5" s="45" t="e">
        <f t="shared" ca="1" si="3"/>
        <v>#REF!</v>
      </c>
      <c r="H5" s="45" t="e">
        <f t="shared" ca="1" si="4"/>
        <v>#REF!</v>
      </c>
      <c r="I5" s="45" t="e">
        <f t="shared" ca="1" si="5"/>
        <v>#REF!</v>
      </c>
      <c r="J5" s="45" t="e">
        <f t="shared" ca="1" si="6"/>
        <v>#REF!</v>
      </c>
      <c r="M5" s="41" t="s">
        <v>41</v>
      </c>
      <c r="N5" s="42" t="s">
        <v>41</v>
      </c>
      <c r="O5" s="63" t="str">
        <f t="shared" si="7"/>
        <v/>
      </c>
      <c r="R5" s="41" t="s">
        <v>41</v>
      </c>
      <c r="S5" s="59" t="s">
        <v>41</v>
      </c>
      <c r="T5" s="63" t="str">
        <f t="shared" si="8"/>
        <v/>
      </c>
      <c r="V5" s="43" t="s">
        <v>41</v>
      </c>
      <c r="W5" s="59" t="s">
        <v>41</v>
      </c>
      <c r="X5" s="63" t="str">
        <f t="shared" si="9"/>
        <v/>
      </c>
    </row>
    <row r="6" spans="1:24" x14ac:dyDescent="0.2">
      <c r="B6" s="140"/>
      <c r="C6" s="41" t="s">
        <v>119</v>
      </c>
      <c r="D6" s="45" t="e">
        <f t="shared" ca="1" si="0"/>
        <v>#REF!</v>
      </c>
      <c r="E6" s="44" t="e">
        <f t="shared" ca="1" si="1"/>
        <v>#REF!</v>
      </c>
      <c r="F6" s="45" t="e">
        <f t="shared" ca="1" si="2"/>
        <v>#REF!</v>
      </c>
      <c r="G6" s="45" t="e">
        <f t="shared" ca="1" si="3"/>
        <v>#REF!</v>
      </c>
      <c r="H6" s="45" t="e">
        <f t="shared" ca="1" si="4"/>
        <v>#REF!</v>
      </c>
      <c r="I6" s="45" t="e">
        <f t="shared" ca="1" si="5"/>
        <v>#REF!</v>
      </c>
      <c r="J6" s="45" t="e">
        <f t="shared" ca="1" si="6"/>
        <v>#REF!</v>
      </c>
      <c r="M6" s="41" t="s">
        <v>52</v>
      </c>
      <c r="N6" s="42" t="s">
        <v>52</v>
      </c>
      <c r="O6" s="63" t="str">
        <f t="shared" si="7"/>
        <v/>
      </c>
      <c r="R6" s="41" t="s">
        <v>52</v>
      </c>
      <c r="S6" s="59" t="s">
        <v>52</v>
      </c>
      <c r="T6" s="63" t="str">
        <f t="shared" si="8"/>
        <v/>
      </c>
      <c r="V6" s="43" t="s">
        <v>52</v>
      </c>
      <c r="W6" s="59" t="s">
        <v>52</v>
      </c>
      <c r="X6" s="63" t="str">
        <f t="shared" si="9"/>
        <v/>
      </c>
    </row>
    <row r="7" spans="1:24" x14ac:dyDescent="0.2">
      <c r="B7" s="140"/>
      <c r="C7" s="41" t="s">
        <v>42</v>
      </c>
      <c r="D7" s="45" t="e">
        <f t="shared" ca="1" si="0"/>
        <v>#REF!</v>
      </c>
      <c r="E7" s="44" t="e">
        <f t="shared" ca="1" si="1"/>
        <v>#REF!</v>
      </c>
      <c r="F7" s="45" t="e">
        <f t="shared" ca="1" si="2"/>
        <v>#REF!</v>
      </c>
      <c r="G7" s="45" t="e">
        <f t="shared" ca="1" si="3"/>
        <v>#REF!</v>
      </c>
      <c r="H7" s="45" t="e">
        <f t="shared" ca="1" si="4"/>
        <v>#REF!</v>
      </c>
      <c r="I7" s="45" t="e">
        <f t="shared" ca="1" si="5"/>
        <v>#REF!</v>
      </c>
      <c r="J7" s="45" t="e">
        <f t="shared" ca="1" si="6"/>
        <v>#REF!</v>
      </c>
      <c r="M7" s="41" t="s">
        <v>119</v>
      </c>
      <c r="N7" s="42" t="s">
        <v>119</v>
      </c>
      <c r="O7" s="63" t="str">
        <f t="shared" si="7"/>
        <v/>
      </c>
      <c r="R7" s="41" t="s">
        <v>119</v>
      </c>
      <c r="S7" s="59" t="s">
        <v>119</v>
      </c>
      <c r="T7" s="63" t="str">
        <f t="shared" si="8"/>
        <v/>
      </c>
      <c r="V7" s="43" t="s">
        <v>119</v>
      </c>
      <c r="W7" s="59" t="s">
        <v>119</v>
      </c>
      <c r="X7" s="63" t="str">
        <f t="shared" si="9"/>
        <v/>
      </c>
    </row>
    <row r="8" spans="1:24" x14ac:dyDescent="0.2">
      <c r="B8" s="140"/>
      <c r="C8" s="41" t="s">
        <v>43</v>
      </c>
      <c r="D8" s="45" t="e">
        <f t="shared" ca="1" si="0"/>
        <v>#REF!</v>
      </c>
      <c r="E8" s="44" t="e">
        <f t="shared" ca="1" si="1"/>
        <v>#REF!</v>
      </c>
      <c r="F8" s="45" t="e">
        <f t="shared" ca="1" si="2"/>
        <v>#REF!</v>
      </c>
      <c r="G8" s="45" t="e">
        <f t="shared" ca="1" si="3"/>
        <v>#REF!</v>
      </c>
      <c r="H8" s="45" t="e">
        <f t="shared" ca="1" si="4"/>
        <v>#REF!</v>
      </c>
      <c r="I8" s="45" t="e">
        <f t="shared" ca="1" si="5"/>
        <v>#REF!</v>
      </c>
      <c r="J8" s="45" t="e">
        <f t="shared" ca="1" si="6"/>
        <v>#REF!</v>
      </c>
      <c r="M8" s="41" t="s">
        <v>42</v>
      </c>
      <c r="N8" s="42" t="s">
        <v>42</v>
      </c>
      <c r="O8" s="63" t="str">
        <f t="shared" si="7"/>
        <v/>
      </c>
      <c r="R8" s="41" t="s">
        <v>42</v>
      </c>
      <c r="S8" s="59" t="s">
        <v>42</v>
      </c>
      <c r="T8" s="63" t="str">
        <f t="shared" si="8"/>
        <v/>
      </c>
      <c r="V8" s="43" t="s">
        <v>42</v>
      </c>
      <c r="W8" s="59" t="s">
        <v>42</v>
      </c>
      <c r="X8" s="63" t="str">
        <f t="shared" si="9"/>
        <v/>
      </c>
    </row>
    <row r="9" spans="1:24" x14ac:dyDescent="0.2">
      <c r="B9" s="140"/>
      <c r="C9" s="41" t="s">
        <v>44</v>
      </c>
      <c r="D9" s="45" t="e">
        <f t="shared" ca="1" si="0"/>
        <v>#REF!</v>
      </c>
      <c r="E9" s="44" t="e">
        <f t="shared" ca="1" si="1"/>
        <v>#REF!</v>
      </c>
      <c r="F9" s="45" t="e">
        <f t="shared" ca="1" si="2"/>
        <v>#REF!</v>
      </c>
      <c r="G9" s="45" t="e">
        <f t="shared" ca="1" si="3"/>
        <v>#REF!</v>
      </c>
      <c r="H9" s="45" t="e">
        <f t="shared" ca="1" si="4"/>
        <v>#REF!</v>
      </c>
      <c r="I9" s="45" t="e">
        <f t="shared" ca="1" si="5"/>
        <v>#REF!</v>
      </c>
      <c r="J9" s="45" t="e">
        <f t="shared" ca="1" si="6"/>
        <v>#REF!</v>
      </c>
      <c r="M9" s="41" t="s">
        <v>43</v>
      </c>
      <c r="N9" s="42" t="s">
        <v>43</v>
      </c>
      <c r="O9" s="63" t="str">
        <f t="shared" si="7"/>
        <v/>
      </c>
      <c r="R9" s="41" t="s">
        <v>43</v>
      </c>
      <c r="S9" s="59" t="s">
        <v>43</v>
      </c>
      <c r="T9" s="63" t="str">
        <f t="shared" si="8"/>
        <v/>
      </c>
      <c r="V9" s="43" t="s">
        <v>43</v>
      </c>
      <c r="W9" s="59" t="s">
        <v>43</v>
      </c>
      <c r="X9" s="63" t="str">
        <f t="shared" si="9"/>
        <v/>
      </c>
    </row>
    <row r="10" spans="1:24" x14ac:dyDescent="0.2">
      <c r="B10" s="140"/>
      <c r="C10" s="41" t="s">
        <v>111</v>
      </c>
      <c r="D10" s="45" t="e">
        <f t="shared" ca="1" si="0"/>
        <v>#REF!</v>
      </c>
      <c r="E10" s="44" t="e">
        <f t="shared" ca="1" si="1"/>
        <v>#REF!</v>
      </c>
      <c r="F10" s="45" t="e">
        <f t="shared" ca="1" si="2"/>
        <v>#REF!</v>
      </c>
      <c r="G10" s="45" t="e">
        <f t="shared" ca="1" si="3"/>
        <v>#REF!</v>
      </c>
      <c r="H10" s="45" t="e">
        <f t="shared" ca="1" si="4"/>
        <v>#REF!</v>
      </c>
      <c r="I10" s="45" t="e">
        <f t="shared" ca="1" si="5"/>
        <v>#REF!</v>
      </c>
      <c r="J10" s="45" t="e">
        <f t="shared" ca="1" si="6"/>
        <v>#REF!</v>
      </c>
      <c r="M10" s="41" t="s">
        <v>44</v>
      </c>
      <c r="N10" s="42" t="s">
        <v>44</v>
      </c>
      <c r="O10" s="63" t="str">
        <f t="shared" si="7"/>
        <v/>
      </c>
      <c r="R10" s="41" t="s">
        <v>44</v>
      </c>
      <c r="S10" s="59" t="s">
        <v>44</v>
      </c>
      <c r="T10" s="63" t="str">
        <f t="shared" si="8"/>
        <v/>
      </c>
      <c r="V10" s="43" t="s">
        <v>44</v>
      </c>
      <c r="W10" s="59" t="s">
        <v>44</v>
      </c>
      <c r="X10" s="63" t="str">
        <f t="shared" si="9"/>
        <v/>
      </c>
    </row>
    <row r="11" spans="1:24" x14ac:dyDescent="0.2">
      <c r="B11" s="140"/>
      <c r="C11" s="41" t="s">
        <v>45</v>
      </c>
      <c r="D11" s="45" t="e">
        <f t="shared" ca="1" si="0"/>
        <v>#REF!</v>
      </c>
      <c r="E11" s="44" t="e">
        <f t="shared" ca="1" si="1"/>
        <v>#REF!</v>
      </c>
      <c r="F11" s="45" t="e">
        <f t="shared" ca="1" si="2"/>
        <v>#REF!</v>
      </c>
      <c r="G11" s="45" t="e">
        <f t="shared" ca="1" si="3"/>
        <v>#REF!</v>
      </c>
      <c r="H11" s="45" t="e">
        <f t="shared" ca="1" si="4"/>
        <v>#REF!</v>
      </c>
      <c r="I11" s="45" t="e">
        <f t="shared" ca="1" si="5"/>
        <v>#REF!</v>
      </c>
      <c r="J11" s="45" t="e">
        <f t="shared" ca="1" si="6"/>
        <v>#REF!</v>
      </c>
      <c r="M11" s="41" t="s">
        <v>111</v>
      </c>
      <c r="N11" s="42" t="s">
        <v>111</v>
      </c>
      <c r="O11" s="63" t="str">
        <f t="shared" si="7"/>
        <v/>
      </c>
      <c r="R11" s="41" t="s">
        <v>111</v>
      </c>
      <c r="S11" s="59" t="s">
        <v>111</v>
      </c>
      <c r="T11" s="63" t="str">
        <f t="shared" si="8"/>
        <v/>
      </c>
      <c r="V11" s="43" t="s">
        <v>111</v>
      </c>
      <c r="W11" s="59" t="s">
        <v>111</v>
      </c>
      <c r="X11" s="63" t="str">
        <f t="shared" si="9"/>
        <v/>
      </c>
    </row>
    <row r="12" spans="1:24" x14ac:dyDescent="0.2">
      <c r="B12" s="140"/>
      <c r="C12" s="41" t="s">
        <v>46</v>
      </c>
      <c r="D12" s="45" t="e">
        <f t="shared" ca="1" si="0"/>
        <v>#REF!</v>
      </c>
      <c r="E12" s="44" t="e">
        <f t="shared" ca="1" si="1"/>
        <v>#REF!</v>
      </c>
      <c r="F12" s="45" t="e">
        <f t="shared" ca="1" si="2"/>
        <v>#REF!</v>
      </c>
      <c r="G12" s="45" t="e">
        <f t="shared" ca="1" si="3"/>
        <v>#REF!</v>
      </c>
      <c r="H12" s="45" t="e">
        <f t="shared" ca="1" si="4"/>
        <v>#REF!</v>
      </c>
      <c r="I12" s="45" t="e">
        <f t="shared" ca="1" si="5"/>
        <v>#REF!</v>
      </c>
      <c r="J12" s="45" t="e">
        <f t="shared" ca="1" si="6"/>
        <v>#REF!</v>
      </c>
      <c r="M12" s="41" t="s">
        <v>45</v>
      </c>
      <c r="N12" s="42" t="s">
        <v>45</v>
      </c>
      <c r="O12" s="63" t="str">
        <f t="shared" si="7"/>
        <v/>
      </c>
      <c r="R12" s="41" t="s">
        <v>45</v>
      </c>
      <c r="S12" s="59" t="s">
        <v>45</v>
      </c>
      <c r="T12" s="63" t="str">
        <f t="shared" si="8"/>
        <v/>
      </c>
      <c r="V12" s="43" t="s">
        <v>45</v>
      </c>
      <c r="W12" s="59" t="s">
        <v>45</v>
      </c>
      <c r="X12" s="63" t="str">
        <f t="shared" si="9"/>
        <v/>
      </c>
    </row>
    <row r="13" spans="1:24" x14ac:dyDescent="0.2">
      <c r="B13" s="140"/>
      <c r="C13" s="41" t="s">
        <v>47</v>
      </c>
      <c r="D13" s="45" t="e">
        <f t="shared" ca="1" si="0"/>
        <v>#REF!</v>
      </c>
      <c r="E13" s="44" t="e">
        <f t="shared" ca="1" si="1"/>
        <v>#REF!</v>
      </c>
      <c r="F13" s="45" t="e">
        <f t="shared" ca="1" si="2"/>
        <v>#REF!</v>
      </c>
      <c r="G13" s="45" t="e">
        <f t="shared" ca="1" si="3"/>
        <v>#REF!</v>
      </c>
      <c r="H13" s="45" t="e">
        <f t="shared" ca="1" si="4"/>
        <v>#REF!</v>
      </c>
      <c r="I13" s="45" t="e">
        <f t="shared" ca="1" si="5"/>
        <v>#REF!</v>
      </c>
      <c r="J13" s="45" t="e">
        <f t="shared" ca="1" si="6"/>
        <v>#REF!</v>
      </c>
      <c r="M13" s="41" t="s">
        <v>46</v>
      </c>
      <c r="N13" s="42" t="s">
        <v>46</v>
      </c>
      <c r="O13" s="63" t="str">
        <f t="shared" si="7"/>
        <v/>
      </c>
      <c r="R13" s="41" t="s">
        <v>46</v>
      </c>
      <c r="S13" s="59" t="s">
        <v>46</v>
      </c>
      <c r="T13" s="63" t="str">
        <f t="shared" si="8"/>
        <v/>
      </c>
      <c r="V13" s="43" t="s">
        <v>46</v>
      </c>
      <c r="W13" s="59" t="s">
        <v>46</v>
      </c>
      <c r="X13" s="63" t="str">
        <f t="shared" si="9"/>
        <v/>
      </c>
    </row>
    <row r="14" spans="1:24" x14ac:dyDescent="0.2">
      <c r="B14" s="140"/>
      <c r="C14" s="41" t="s">
        <v>48</v>
      </c>
      <c r="D14" s="45" t="e">
        <f t="shared" ca="1" si="0"/>
        <v>#REF!</v>
      </c>
      <c r="E14" s="44" t="e">
        <f t="shared" ca="1" si="1"/>
        <v>#REF!</v>
      </c>
      <c r="F14" s="45" t="e">
        <f t="shared" ca="1" si="2"/>
        <v>#REF!</v>
      </c>
      <c r="G14" s="45" t="e">
        <f t="shared" ca="1" si="3"/>
        <v>#REF!</v>
      </c>
      <c r="H14" s="45" t="e">
        <f t="shared" ca="1" si="4"/>
        <v>#REF!</v>
      </c>
      <c r="I14" s="45" t="e">
        <f t="shared" ca="1" si="5"/>
        <v>#REF!</v>
      </c>
      <c r="J14" s="45" t="e">
        <f t="shared" ca="1" si="6"/>
        <v>#REF!</v>
      </c>
      <c r="M14" s="41" t="s">
        <v>47</v>
      </c>
      <c r="N14" s="42" t="s">
        <v>47</v>
      </c>
      <c r="O14" s="63" t="str">
        <f t="shared" si="7"/>
        <v/>
      </c>
      <c r="R14" s="41" t="s">
        <v>47</v>
      </c>
      <c r="S14" s="59" t="s">
        <v>47</v>
      </c>
      <c r="T14" s="63" t="str">
        <f t="shared" si="8"/>
        <v/>
      </c>
      <c r="V14" s="43" t="s">
        <v>47</v>
      </c>
      <c r="W14" s="59" t="s">
        <v>47</v>
      </c>
      <c r="X14" s="63" t="str">
        <f t="shared" si="9"/>
        <v/>
      </c>
    </row>
    <row r="15" spans="1:24" x14ac:dyDescent="0.2">
      <c r="B15" s="140"/>
      <c r="C15" s="41" t="s">
        <v>53</v>
      </c>
      <c r="D15" s="45" t="e">
        <f t="shared" ca="1" si="0"/>
        <v>#REF!</v>
      </c>
      <c r="E15" s="44" t="e">
        <f t="shared" ca="1" si="1"/>
        <v>#REF!</v>
      </c>
      <c r="F15" s="45" t="e">
        <f t="shared" ca="1" si="2"/>
        <v>#REF!</v>
      </c>
      <c r="G15" s="45" t="e">
        <f t="shared" ca="1" si="3"/>
        <v>#REF!</v>
      </c>
      <c r="H15" s="45" t="e">
        <f t="shared" ca="1" si="4"/>
        <v>#REF!</v>
      </c>
      <c r="I15" s="45" t="e">
        <f t="shared" ca="1" si="5"/>
        <v>#REF!</v>
      </c>
      <c r="J15" s="45" t="e">
        <f t="shared" ca="1" si="6"/>
        <v>#REF!</v>
      </c>
      <c r="M15" s="41" t="s">
        <v>48</v>
      </c>
      <c r="N15" s="42" t="s">
        <v>48</v>
      </c>
      <c r="O15" s="63" t="str">
        <f t="shared" si="7"/>
        <v/>
      </c>
      <c r="R15" s="41" t="s">
        <v>48</v>
      </c>
      <c r="S15" s="59" t="s">
        <v>48</v>
      </c>
      <c r="T15" s="63" t="str">
        <f t="shared" si="8"/>
        <v/>
      </c>
      <c r="V15" s="43" t="s">
        <v>48</v>
      </c>
      <c r="W15" s="59" t="s">
        <v>48</v>
      </c>
      <c r="X15" s="63" t="str">
        <f t="shared" si="9"/>
        <v/>
      </c>
    </row>
    <row r="16" spans="1:24" x14ac:dyDescent="0.2">
      <c r="B16" s="137" t="s">
        <v>132</v>
      </c>
      <c r="C16" s="42" t="s">
        <v>54</v>
      </c>
      <c r="D16" s="46" t="e">
        <f t="shared" ca="1" si="0"/>
        <v>#REF!</v>
      </c>
      <c r="E16" s="46" t="e">
        <f t="shared" ca="1" si="1"/>
        <v>#REF!</v>
      </c>
      <c r="F16" s="46" t="e">
        <f t="shared" ca="1" si="2"/>
        <v>#REF!</v>
      </c>
      <c r="G16" s="46" t="e">
        <f t="shared" ca="1" si="3"/>
        <v>#REF!</v>
      </c>
      <c r="H16" s="46" t="e">
        <f t="shared" ca="1" si="4"/>
        <v>#REF!</v>
      </c>
      <c r="I16" s="46" t="e">
        <f t="shared" ca="1" si="5"/>
        <v>#REF!</v>
      </c>
      <c r="J16" s="46" t="e">
        <f t="shared" ca="1" si="6"/>
        <v>#REF!</v>
      </c>
      <c r="M16" s="41" t="s">
        <v>53</v>
      </c>
      <c r="N16" s="42" t="s">
        <v>53</v>
      </c>
      <c r="O16" s="63" t="str">
        <f t="shared" si="7"/>
        <v/>
      </c>
      <c r="R16" s="41" t="s">
        <v>53</v>
      </c>
      <c r="S16" s="59" t="s">
        <v>53</v>
      </c>
      <c r="T16" s="63" t="str">
        <f t="shared" si="8"/>
        <v/>
      </c>
      <c r="V16" s="43" t="s">
        <v>53</v>
      </c>
      <c r="W16" s="59" t="s">
        <v>53</v>
      </c>
      <c r="X16" s="63" t="str">
        <f t="shared" si="9"/>
        <v/>
      </c>
    </row>
    <row r="17" spans="2:24" x14ac:dyDescent="0.2">
      <c r="B17" s="137"/>
      <c r="C17" s="42" t="s">
        <v>55</v>
      </c>
      <c r="D17" s="46" t="e">
        <f t="shared" ca="1" si="0"/>
        <v>#REF!</v>
      </c>
      <c r="E17" s="46" t="e">
        <f t="shared" ca="1" si="1"/>
        <v>#REF!</v>
      </c>
      <c r="F17" s="46" t="e">
        <f t="shared" ca="1" si="2"/>
        <v>#REF!</v>
      </c>
      <c r="G17" s="46" t="e">
        <f t="shared" ca="1" si="3"/>
        <v>#REF!</v>
      </c>
      <c r="H17" s="46" t="e">
        <f t="shared" ca="1" si="4"/>
        <v>#REF!</v>
      </c>
      <c r="I17" s="46" t="e">
        <f t="shared" ca="1" si="5"/>
        <v>#REF!</v>
      </c>
      <c r="J17" s="46" t="e">
        <f t="shared" ca="1" si="6"/>
        <v>#REF!</v>
      </c>
      <c r="M17" s="41" t="s">
        <v>54</v>
      </c>
      <c r="N17" s="42" t="s">
        <v>54</v>
      </c>
      <c r="O17" s="63" t="str">
        <f t="shared" si="7"/>
        <v/>
      </c>
      <c r="R17" s="41" t="s">
        <v>54</v>
      </c>
      <c r="S17" s="59" t="s">
        <v>54</v>
      </c>
      <c r="T17" s="63" t="str">
        <f t="shared" si="8"/>
        <v/>
      </c>
      <c r="V17" s="43" t="s">
        <v>54</v>
      </c>
      <c r="W17" s="59" t="s">
        <v>54</v>
      </c>
      <c r="X17" s="63" t="str">
        <f t="shared" si="9"/>
        <v/>
      </c>
    </row>
    <row r="18" spans="2:24" x14ac:dyDescent="0.2">
      <c r="B18" s="137"/>
      <c r="C18" s="42" t="s">
        <v>56</v>
      </c>
      <c r="D18" s="46" t="e">
        <f t="shared" ca="1" si="0"/>
        <v>#REF!</v>
      </c>
      <c r="E18" s="46" t="e">
        <f t="shared" ca="1" si="1"/>
        <v>#REF!</v>
      </c>
      <c r="F18" s="46" t="e">
        <f t="shared" ca="1" si="2"/>
        <v>#REF!</v>
      </c>
      <c r="G18" s="46" t="e">
        <f t="shared" ca="1" si="3"/>
        <v>#REF!</v>
      </c>
      <c r="H18" s="46" t="e">
        <f t="shared" ca="1" si="4"/>
        <v>#REF!</v>
      </c>
      <c r="I18" s="46" t="e">
        <f t="shared" ca="1" si="5"/>
        <v>#REF!</v>
      </c>
      <c r="J18" s="46" t="e">
        <f t="shared" ca="1" si="6"/>
        <v>#REF!</v>
      </c>
      <c r="M18" s="41" t="s">
        <v>55</v>
      </c>
      <c r="N18" s="42" t="s">
        <v>55</v>
      </c>
      <c r="O18" s="63" t="str">
        <f t="shared" si="7"/>
        <v/>
      </c>
      <c r="R18" s="41" t="s">
        <v>55</v>
      </c>
      <c r="S18" s="59" t="s">
        <v>55</v>
      </c>
      <c r="T18" s="63" t="str">
        <f t="shared" si="8"/>
        <v/>
      </c>
      <c r="V18" s="43" t="s">
        <v>55</v>
      </c>
      <c r="W18" s="59" t="s">
        <v>55</v>
      </c>
      <c r="X18" s="63" t="str">
        <f t="shared" si="9"/>
        <v/>
      </c>
    </row>
    <row r="19" spans="2:24" x14ac:dyDescent="0.2">
      <c r="B19" s="137"/>
      <c r="C19" s="42" t="s">
        <v>57</v>
      </c>
      <c r="D19" s="46" t="e">
        <f t="shared" ca="1" si="0"/>
        <v>#REF!</v>
      </c>
      <c r="E19" s="46" t="e">
        <f t="shared" ca="1" si="1"/>
        <v>#REF!</v>
      </c>
      <c r="F19" s="46" t="e">
        <f t="shared" ca="1" si="2"/>
        <v>#REF!</v>
      </c>
      <c r="G19" s="46" t="e">
        <f t="shared" ca="1" si="3"/>
        <v>#REF!</v>
      </c>
      <c r="H19" s="46" t="e">
        <f t="shared" ca="1" si="4"/>
        <v>#REF!</v>
      </c>
      <c r="I19" s="46" t="e">
        <f t="shared" ca="1" si="5"/>
        <v>#REF!</v>
      </c>
      <c r="J19" s="46" t="e">
        <f t="shared" ca="1" si="6"/>
        <v>#REF!</v>
      </c>
      <c r="M19" s="41" t="s">
        <v>56</v>
      </c>
      <c r="N19" s="42" t="s">
        <v>56</v>
      </c>
      <c r="O19" s="63" t="str">
        <f t="shared" si="7"/>
        <v/>
      </c>
      <c r="R19" s="41" t="s">
        <v>56</v>
      </c>
      <c r="S19" s="59" t="s">
        <v>56</v>
      </c>
      <c r="T19" s="63" t="str">
        <f t="shared" si="8"/>
        <v/>
      </c>
      <c r="V19" s="43" t="s">
        <v>56</v>
      </c>
      <c r="W19" s="59" t="s">
        <v>56</v>
      </c>
      <c r="X19" s="63" t="str">
        <f t="shared" si="9"/>
        <v/>
      </c>
    </row>
    <row r="20" spans="2:24" x14ac:dyDescent="0.2">
      <c r="B20" s="137"/>
      <c r="C20" s="42" t="s">
        <v>58</v>
      </c>
      <c r="D20" s="46" t="e">
        <f t="shared" ca="1" si="0"/>
        <v>#REF!</v>
      </c>
      <c r="E20" s="46" t="e">
        <f t="shared" ca="1" si="1"/>
        <v>#REF!</v>
      </c>
      <c r="F20" s="46" t="e">
        <f t="shared" ca="1" si="2"/>
        <v>#REF!</v>
      </c>
      <c r="G20" s="46" t="e">
        <f t="shared" ca="1" si="3"/>
        <v>#REF!</v>
      </c>
      <c r="H20" s="46" t="e">
        <f t="shared" ca="1" si="4"/>
        <v>#REF!</v>
      </c>
      <c r="I20" s="46" t="e">
        <f t="shared" ca="1" si="5"/>
        <v>#REF!</v>
      </c>
      <c r="J20" s="46" t="e">
        <f t="shared" ca="1" si="6"/>
        <v>#REF!</v>
      </c>
      <c r="M20" s="41" t="s">
        <v>57</v>
      </c>
      <c r="N20" s="42" t="s">
        <v>57</v>
      </c>
      <c r="O20" s="63" t="str">
        <f t="shared" si="7"/>
        <v/>
      </c>
      <c r="R20" s="41" t="s">
        <v>57</v>
      </c>
      <c r="S20" s="59" t="s">
        <v>57</v>
      </c>
      <c r="T20" s="63" t="str">
        <f t="shared" si="8"/>
        <v/>
      </c>
      <c r="V20" s="43" t="s">
        <v>57</v>
      </c>
      <c r="W20" s="59" t="s">
        <v>57</v>
      </c>
      <c r="X20" s="63" t="str">
        <f t="shared" si="9"/>
        <v/>
      </c>
    </row>
    <row r="21" spans="2:24" x14ac:dyDescent="0.2">
      <c r="B21" s="137"/>
      <c r="C21" s="42" t="s">
        <v>0</v>
      </c>
      <c r="D21" s="46" t="e">
        <f t="shared" ca="1" si="0"/>
        <v>#REF!</v>
      </c>
      <c r="E21" s="46" t="e">
        <f t="shared" ca="1" si="1"/>
        <v>#REF!</v>
      </c>
      <c r="F21" s="46" t="e">
        <f t="shared" ca="1" si="2"/>
        <v>#REF!</v>
      </c>
      <c r="G21" s="46" t="e">
        <f t="shared" ca="1" si="3"/>
        <v>#REF!</v>
      </c>
      <c r="H21" s="46" t="e">
        <f t="shared" ca="1" si="4"/>
        <v>#REF!</v>
      </c>
      <c r="I21" s="46" t="e">
        <f t="shared" ca="1" si="5"/>
        <v>#REF!</v>
      </c>
      <c r="J21" s="46" t="e">
        <f t="shared" ca="1" si="6"/>
        <v>#REF!</v>
      </c>
      <c r="M21" s="41" t="s">
        <v>58</v>
      </c>
      <c r="N21" s="42" t="s">
        <v>58</v>
      </c>
      <c r="O21" s="63" t="str">
        <f t="shared" si="7"/>
        <v/>
      </c>
      <c r="R21" s="41" t="s">
        <v>58</v>
      </c>
      <c r="S21" s="59" t="s">
        <v>58</v>
      </c>
      <c r="T21" s="63" t="str">
        <f t="shared" si="8"/>
        <v/>
      </c>
      <c r="V21" s="43" t="s">
        <v>58</v>
      </c>
      <c r="W21" s="59" t="s">
        <v>58</v>
      </c>
      <c r="X21" s="63" t="str">
        <f t="shared" si="9"/>
        <v/>
      </c>
    </row>
    <row r="22" spans="2:24" x14ac:dyDescent="0.2">
      <c r="B22" s="142" t="s">
        <v>106</v>
      </c>
      <c r="C22" s="69" t="s">
        <v>133</v>
      </c>
      <c r="D22" s="70" t="s">
        <v>174</v>
      </c>
      <c r="E22" s="70" t="s">
        <v>175</v>
      </c>
      <c r="F22" s="45"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45" t="e">
        <f t="shared" ca="1" si="3"/>
        <v>#REF!</v>
      </c>
      <c r="H22" s="45"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45"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45"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41" t="s">
        <v>0</v>
      </c>
      <c r="N22" s="42" t="s">
        <v>0</v>
      </c>
      <c r="O22" s="63" t="str">
        <f t="shared" si="7"/>
        <v/>
      </c>
      <c r="R22" s="41" t="s">
        <v>0</v>
      </c>
      <c r="S22" s="59" t="s">
        <v>0</v>
      </c>
      <c r="T22" s="63" t="str">
        <f t="shared" si="8"/>
        <v/>
      </c>
      <c r="V22" s="43" t="s">
        <v>0</v>
      </c>
      <c r="W22" s="59" t="s">
        <v>0</v>
      </c>
      <c r="X22" s="63" t="str">
        <f t="shared" si="9"/>
        <v/>
      </c>
    </row>
    <row r="23" spans="2:24" x14ac:dyDescent="0.2">
      <c r="B23" s="143"/>
      <c r="C23" s="69" t="s">
        <v>134</v>
      </c>
      <c r="D23" s="70" t="s">
        <v>176</v>
      </c>
      <c r="E23" s="70" t="s">
        <v>177</v>
      </c>
      <c r="F23" s="45"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45" t="e">
        <f t="shared" ca="1" si="3"/>
        <v>#REF!</v>
      </c>
      <c r="H23" s="45"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45"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45"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41" t="s">
        <v>133</v>
      </c>
      <c r="N23" s="42" t="s">
        <v>133</v>
      </c>
      <c r="O23" s="63" t="str">
        <f t="shared" si="7"/>
        <v/>
      </c>
      <c r="R23" s="41" t="s">
        <v>133</v>
      </c>
      <c r="S23" s="59" t="s">
        <v>133</v>
      </c>
      <c r="T23" s="63" t="str">
        <f t="shared" si="8"/>
        <v/>
      </c>
      <c r="V23" s="43" t="s">
        <v>133</v>
      </c>
      <c r="W23" s="59" t="s">
        <v>133</v>
      </c>
      <c r="X23" s="63" t="str">
        <f t="shared" si="9"/>
        <v/>
      </c>
    </row>
    <row r="24" spans="2:24" x14ac:dyDescent="0.2">
      <c r="B24" s="143"/>
      <c r="C24" s="41" t="s">
        <v>59</v>
      </c>
      <c r="D24" s="45"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44"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45"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45" t="e">
        <f t="shared" ca="1" si="3"/>
        <v>#REF!</v>
      </c>
      <c r="H24" s="45"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45"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45"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41" t="s">
        <v>134</v>
      </c>
      <c r="N24" s="42" t="s">
        <v>134</v>
      </c>
      <c r="O24" s="63" t="str">
        <f t="shared" si="7"/>
        <v/>
      </c>
      <c r="R24" s="41" t="s">
        <v>134</v>
      </c>
      <c r="S24" s="59" t="s">
        <v>134</v>
      </c>
      <c r="T24" s="63" t="str">
        <f t="shared" si="8"/>
        <v/>
      </c>
      <c r="V24" s="43" t="s">
        <v>134</v>
      </c>
      <c r="W24" s="59" t="s">
        <v>134</v>
      </c>
      <c r="X24" s="63" t="str">
        <f t="shared" si="9"/>
        <v/>
      </c>
    </row>
    <row r="25" spans="2:24" x14ac:dyDescent="0.2">
      <c r="B25" s="143"/>
      <c r="C25" s="69" t="s">
        <v>135</v>
      </c>
      <c r="D25" s="70" t="s">
        <v>178</v>
      </c>
      <c r="E25" s="70" t="s">
        <v>179</v>
      </c>
      <c r="F25" s="45"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45" t="e">
        <f t="shared" ca="1" si="3"/>
        <v>#REF!</v>
      </c>
      <c r="H25" s="45"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45"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45"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41" t="s">
        <v>59</v>
      </c>
      <c r="N25" s="42" t="s">
        <v>59</v>
      </c>
      <c r="O25" s="63" t="str">
        <f t="shared" si="7"/>
        <v/>
      </c>
      <c r="R25" s="41" t="s">
        <v>59</v>
      </c>
      <c r="S25" s="59" t="s">
        <v>59</v>
      </c>
      <c r="T25" s="63" t="str">
        <f t="shared" si="8"/>
        <v/>
      </c>
      <c r="V25" s="43" t="s">
        <v>59</v>
      </c>
      <c r="W25" s="59" t="s">
        <v>59</v>
      </c>
      <c r="X25" s="63" t="str">
        <f t="shared" si="9"/>
        <v/>
      </c>
    </row>
    <row r="26" spans="2:24" x14ac:dyDescent="0.2">
      <c r="B26" s="143"/>
      <c r="C26" s="41" t="s">
        <v>60</v>
      </c>
      <c r="D26" s="45"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44"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45"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45" t="e">
        <f t="shared" ca="1" si="3"/>
        <v>#REF!</v>
      </c>
      <c r="H26" s="45"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45"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45"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41" t="s">
        <v>135</v>
      </c>
      <c r="N26" s="42" t="s">
        <v>135</v>
      </c>
      <c r="O26" s="63" t="str">
        <f t="shared" si="7"/>
        <v/>
      </c>
      <c r="R26" s="41" t="s">
        <v>135</v>
      </c>
      <c r="S26" s="59" t="s">
        <v>135</v>
      </c>
      <c r="T26" s="63" t="str">
        <f t="shared" si="8"/>
        <v/>
      </c>
      <c r="V26" s="43" t="s">
        <v>135</v>
      </c>
      <c r="W26" s="59" t="s">
        <v>135</v>
      </c>
      <c r="X26" s="63" t="str">
        <f t="shared" si="9"/>
        <v/>
      </c>
    </row>
    <row r="27" spans="2:24" x14ac:dyDescent="0.2">
      <c r="B27" s="143"/>
      <c r="C27" s="41" t="s">
        <v>61</v>
      </c>
      <c r="D27" s="45" t="e">
        <f t="shared" ca="1" si="10"/>
        <v>#REF!</v>
      </c>
      <c r="E27" s="44" t="e">
        <f t="shared" ca="1" si="11"/>
        <v>#REF!</v>
      </c>
      <c r="F27" s="45" t="e">
        <f t="shared" ca="1" si="12"/>
        <v>#REF!</v>
      </c>
      <c r="G27" s="45" t="e">
        <f t="shared" ca="1" si="3"/>
        <v>#REF!</v>
      </c>
      <c r="H27" s="45" t="e">
        <f t="shared" ca="1" si="13"/>
        <v>#REF!</v>
      </c>
      <c r="I27" s="45" t="e">
        <f t="shared" ca="1" si="14"/>
        <v>#REF!</v>
      </c>
      <c r="J27" s="45" t="e">
        <f t="shared" ca="1" si="15"/>
        <v>#REF!</v>
      </c>
      <c r="M27" s="41" t="s">
        <v>60</v>
      </c>
      <c r="N27" s="42" t="s">
        <v>60</v>
      </c>
      <c r="O27" s="63" t="str">
        <f t="shared" si="7"/>
        <v/>
      </c>
      <c r="R27" s="41" t="s">
        <v>60</v>
      </c>
      <c r="S27" s="59" t="s">
        <v>60</v>
      </c>
      <c r="T27" s="63" t="str">
        <f t="shared" si="8"/>
        <v/>
      </c>
      <c r="V27" s="43" t="s">
        <v>60</v>
      </c>
      <c r="W27" s="59" t="s">
        <v>60</v>
      </c>
      <c r="X27" s="63" t="str">
        <f t="shared" si="9"/>
        <v/>
      </c>
    </row>
    <row r="28" spans="2:24" x14ac:dyDescent="0.2">
      <c r="B28" s="141"/>
      <c r="C28" s="41" t="s">
        <v>180</v>
      </c>
      <c r="D28" s="45" t="e">
        <f t="shared" ca="1" si="10"/>
        <v>#REF!</v>
      </c>
      <c r="E28" s="44" t="e">
        <f t="shared" ca="1" si="11"/>
        <v>#REF!</v>
      </c>
      <c r="F28" s="45" t="e">
        <f t="shared" ca="1" si="12"/>
        <v>#REF!</v>
      </c>
      <c r="G28" s="45" t="e">
        <f t="shared" ca="1" si="3"/>
        <v>#REF!</v>
      </c>
      <c r="H28" s="45" t="e">
        <f t="shared" ca="1" si="13"/>
        <v>#REF!</v>
      </c>
      <c r="I28" s="45" t="e">
        <f t="shared" ca="1" si="14"/>
        <v>#REF!</v>
      </c>
      <c r="J28" s="45" t="e">
        <f t="shared" ca="1" si="15"/>
        <v>#REF!</v>
      </c>
      <c r="M28" s="41"/>
      <c r="N28" s="42"/>
      <c r="O28" s="63"/>
      <c r="R28" s="41"/>
      <c r="S28" s="59"/>
      <c r="T28" s="63"/>
      <c r="V28" s="43"/>
      <c r="W28" s="59"/>
      <c r="X28" s="63"/>
    </row>
    <row r="29" spans="2:24" x14ac:dyDescent="0.2">
      <c r="B29" s="137" t="s">
        <v>107</v>
      </c>
      <c r="C29" s="42" t="s">
        <v>120</v>
      </c>
      <c r="D29" s="46" t="e">
        <f t="shared" ca="1" si="10"/>
        <v>#REF!</v>
      </c>
      <c r="E29" s="46" t="e">
        <f t="shared" ca="1" si="11"/>
        <v>#REF!</v>
      </c>
      <c r="F29" s="46" t="e">
        <f t="shared" ca="1" si="12"/>
        <v>#REF!</v>
      </c>
      <c r="G29" s="46" t="e">
        <f t="shared" ca="1" si="3"/>
        <v>#REF!</v>
      </c>
      <c r="H29" s="46" t="e">
        <f t="shared" ca="1" si="13"/>
        <v>#REF!</v>
      </c>
      <c r="I29" s="46" t="e">
        <f t="shared" ca="1" si="14"/>
        <v>#REF!</v>
      </c>
      <c r="J29" s="46" t="e">
        <f t="shared" ca="1" si="15"/>
        <v>#REF!</v>
      </c>
      <c r="M29" s="41" t="s">
        <v>61</v>
      </c>
      <c r="N29" s="42" t="s">
        <v>61</v>
      </c>
      <c r="O29" s="63" t="str">
        <f t="shared" ref="O29:O60" si="16">IF(OR(IF(ISNA(VLOOKUP(M29,$N$4:$N$130,1,)),FALSE,TRUE),IF(ISNA(VLOOKUP(N29,$M$4:$M$130,1,)),FALSE,TRUE))=FALSE, "no match","")</f>
        <v/>
      </c>
      <c r="R29" s="41" t="s">
        <v>61</v>
      </c>
      <c r="S29" s="59" t="s">
        <v>61</v>
      </c>
      <c r="T29" s="63" t="str">
        <f t="shared" ref="T29:T56" si="17">IF(OR(IF(ISNA(VLOOKUP(R29,$S$4:$S$130,1,)),FALSE,TRUE),IF(ISNA(VLOOKUP(S29,$R$4:$R$130,1,)),FALSE,TRUE))=FALSE, "no match","")</f>
        <v/>
      </c>
      <c r="V29" s="43" t="s">
        <v>61</v>
      </c>
      <c r="W29" s="59" t="s">
        <v>61</v>
      </c>
      <c r="X29" s="63" t="str">
        <f t="shared" ref="X29:X60" si="18">IF(OR(IF(ISNA(VLOOKUP(V29,$W$4:$W$77,1,)),FALSE,TRUE),IF(ISNA(VLOOKUP(W29,$V$4:$V$77,1,)),FALSE,TRUE))=FALSE, "no match","")</f>
        <v/>
      </c>
    </row>
    <row r="30" spans="2:24" x14ac:dyDescent="0.2">
      <c r="B30" s="137"/>
      <c r="C30" s="42" t="s">
        <v>121</v>
      </c>
      <c r="D30" s="46" t="e">
        <f t="shared" ca="1" si="10"/>
        <v>#REF!</v>
      </c>
      <c r="E30" s="46" t="e">
        <f t="shared" ca="1" si="11"/>
        <v>#REF!</v>
      </c>
      <c r="F30" s="46" t="e">
        <f t="shared" ca="1" si="12"/>
        <v>#REF!</v>
      </c>
      <c r="G30" s="46" t="e">
        <f t="shared" ca="1" si="3"/>
        <v>#REF!</v>
      </c>
      <c r="H30" s="46" t="e">
        <f t="shared" ca="1" si="13"/>
        <v>#REF!</v>
      </c>
      <c r="I30" s="46" t="e">
        <f t="shared" ca="1" si="14"/>
        <v>#REF!</v>
      </c>
      <c r="J30" s="46" t="e">
        <f t="shared" ca="1" si="15"/>
        <v>#REF!</v>
      </c>
      <c r="M30" s="41" t="s">
        <v>120</v>
      </c>
      <c r="N30" s="42"/>
      <c r="O30" s="63" t="str">
        <f t="shared" si="16"/>
        <v>no match</v>
      </c>
      <c r="R30" s="41" t="s">
        <v>120</v>
      </c>
      <c r="S30" s="59"/>
      <c r="T30" s="63" t="str">
        <f t="shared" si="17"/>
        <v>no match</v>
      </c>
      <c r="V30" s="43" t="s">
        <v>63</v>
      </c>
      <c r="W30" s="59" t="s">
        <v>63</v>
      </c>
      <c r="X30" s="63" t="str">
        <f t="shared" si="18"/>
        <v/>
      </c>
    </row>
    <row r="31" spans="2:24" x14ac:dyDescent="0.2">
      <c r="B31" s="137"/>
      <c r="C31" s="42" t="s">
        <v>136</v>
      </c>
      <c r="D31" s="46" t="e">
        <f t="shared" ca="1" si="10"/>
        <v>#REF!</v>
      </c>
      <c r="E31" s="46" t="e">
        <f t="shared" ca="1" si="11"/>
        <v>#REF!</v>
      </c>
      <c r="F31" s="46" t="e">
        <f t="shared" ca="1" si="12"/>
        <v>#REF!</v>
      </c>
      <c r="G31" s="46" t="e">
        <f t="shared" ca="1" si="3"/>
        <v>#REF!</v>
      </c>
      <c r="H31" s="46" t="e">
        <f t="shared" ca="1" si="13"/>
        <v>#REF!</v>
      </c>
      <c r="I31" s="46" t="e">
        <f t="shared" ca="1" si="14"/>
        <v>#REF!</v>
      </c>
      <c r="J31" s="46" t="e">
        <f t="shared" ca="1" si="15"/>
        <v>#REF!</v>
      </c>
      <c r="M31" s="41" t="s">
        <v>121</v>
      </c>
      <c r="N31" s="42"/>
      <c r="O31" s="63" t="str">
        <f t="shared" si="16"/>
        <v>no match</v>
      </c>
      <c r="R31" s="41" t="s">
        <v>121</v>
      </c>
      <c r="S31" s="59"/>
      <c r="T31" s="63" t="str">
        <f t="shared" si="17"/>
        <v>no match</v>
      </c>
      <c r="V31" s="43" t="s">
        <v>90</v>
      </c>
      <c r="W31" s="59" t="s">
        <v>90</v>
      </c>
      <c r="X31" s="63" t="str">
        <f t="shared" si="18"/>
        <v/>
      </c>
    </row>
    <row r="32" spans="2:24" x14ac:dyDescent="0.2">
      <c r="B32" s="140" t="s">
        <v>141</v>
      </c>
      <c r="C32" s="41" t="s">
        <v>62</v>
      </c>
      <c r="D32" s="45" t="e">
        <f t="shared" ca="1" si="10"/>
        <v>#REF!</v>
      </c>
      <c r="E32" s="45" t="e">
        <f t="shared" ca="1" si="11"/>
        <v>#REF!</v>
      </c>
      <c r="F32" s="45" t="e">
        <f t="shared" ca="1" si="12"/>
        <v>#REF!</v>
      </c>
      <c r="G32" s="45" t="e">
        <f t="shared" ca="1" si="3"/>
        <v>#REF!</v>
      </c>
      <c r="H32" s="45" t="e">
        <f t="shared" ca="1" si="13"/>
        <v>#REF!</v>
      </c>
      <c r="I32" s="45" t="e">
        <f t="shared" ca="1" si="14"/>
        <v>#REF!</v>
      </c>
      <c r="J32" s="45" t="e">
        <f t="shared" ca="1" si="15"/>
        <v>#REF!</v>
      </c>
      <c r="M32" s="41" t="s">
        <v>136</v>
      </c>
      <c r="N32" s="42"/>
      <c r="O32" s="63" t="str">
        <f t="shared" si="16"/>
        <v>no match</v>
      </c>
      <c r="R32" s="41" t="s">
        <v>136</v>
      </c>
      <c r="S32" s="59"/>
      <c r="T32" s="63" t="str">
        <f t="shared" si="17"/>
        <v>no match</v>
      </c>
      <c r="V32" s="43" t="s">
        <v>65</v>
      </c>
      <c r="W32" s="59" t="s">
        <v>65</v>
      </c>
      <c r="X32" s="63" t="str">
        <f t="shared" si="18"/>
        <v/>
      </c>
    </row>
    <row r="33" spans="2:24" x14ac:dyDescent="0.2">
      <c r="B33" s="140"/>
      <c r="C33" s="41" t="s">
        <v>122</v>
      </c>
      <c r="D33" s="45" t="e">
        <f t="shared" ca="1" si="10"/>
        <v>#REF!</v>
      </c>
      <c r="E33" s="45" t="e">
        <f t="shared" ca="1" si="11"/>
        <v>#REF!</v>
      </c>
      <c r="F33" s="45" t="e">
        <f t="shared" ca="1" si="12"/>
        <v>#REF!</v>
      </c>
      <c r="G33" s="45" t="e">
        <f t="shared" ca="1" si="3"/>
        <v>#REF!</v>
      </c>
      <c r="H33" s="45" t="e">
        <f t="shared" ca="1" si="13"/>
        <v>#REF!</v>
      </c>
      <c r="I33" s="45" t="e">
        <f t="shared" ca="1" si="14"/>
        <v>#REF!</v>
      </c>
      <c r="J33" s="45" t="e">
        <f t="shared" ca="1" si="15"/>
        <v>#REF!</v>
      </c>
      <c r="M33" s="41" t="s">
        <v>62</v>
      </c>
      <c r="N33" s="42" t="s">
        <v>63</v>
      </c>
      <c r="O33" s="63" t="str">
        <f t="shared" si="16"/>
        <v/>
      </c>
      <c r="R33" s="41" t="s">
        <v>62</v>
      </c>
      <c r="S33" s="59" t="s">
        <v>63</v>
      </c>
      <c r="T33" s="63" t="str">
        <f t="shared" si="17"/>
        <v/>
      </c>
      <c r="V33" s="43" t="s">
        <v>66</v>
      </c>
      <c r="W33" s="59" t="s">
        <v>66</v>
      </c>
      <c r="X33" s="63" t="str">
        <f t="shared" si="18"/>
        <v/>
      </c>
    </row>
    <row r="34" spans="2:24" x14ac:dyDescent="0.2">
      <c r="B34" s="140"/>
      <c r="C34" s="41" t="s">
        <v>123</v>
      </c>
      <c r="D34" s="45" t="e">
        <f t="shared" ca="1" si="10"/>
        <v>#REF!</v>
      </c>
      <c r="E34" s="45" t="e">
        <f t="shared" ca="1" si="11"/>
        <v>#REF!</v>
      </c>
      <c r="F34" s="45" t="e">
        <f t="shared" ca="1" si="12"/>
        <v>#REF!</v>
      </c>
      <c r="G34" s="45" t="e">
        <f t="shared" ca="1" si="3"/>
        <v>#REF!</v>
      </c>
      <c r="H34" s="45" t="e">
        <f t="shared" ca="1" si="13"/>
        <v>#REF!</v>
      </c>
      <c r="I34" s="45" t="e">
        <f t="shared" ca="1" si="14"/>
        <v>#REF!</v>
      </c>
      <c r="J34" s="45" t="e">
        <f t="shared" ca="1" si="15"/>
        <v>#REF!</v>
      </c>
      <c r="M34" s="41" t="s">
        <v>122</v>
      </c>
      <c r="N34" s="42" t="s">
        <v>90</v>
      </c>
      <c r="O34" s="63" t="str">
        <f t="shared" si="16"/>
        <v/>
      </c>
      <c r="R34" s="41" t="s">
        <v>122</v>
      </c>
      <c r="S34" s="59" t="s">
        <v>90</v>
      </c>
      <c r="T34" s="63" t="str">
        <f t="shared" si="17"/>
        <v/>
      </c>
      <c r="V34" s="43" t="s">
        <v>68</v>
      </c>
      <c r="W34" s="59" t="s">
        <v>68</v>
      </c>
      <c r="X34" s="63" t="str">
        <f t="shared" si="18"/>
        <v/>
      </c>
    </row>
    <row r="35" spans="2:24" x14ac:dyDescent="0.2">
      <c r="B35" s="140"/>
      <c r="C35" s="41" t="s">
        <v>63</v>
      </c>
      <c r="D35" s="45" t="e">
        <f t="shared" ca="1" si="10"/>
        <v>#REF!</v>
      </c>
      <c r="E35" s="45" t="e">
        <f t="shared" ca="1" si="11"/>
        <v>#REF!</v>
      </c>
      <c r="F35" s="45" t="e">
        <f t="shared" ca="1" si="12"/>
        <v>#REF!</v>
      </c>
      <c r="G35" s="45"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45" t="e">
        <f t="shared" ca="1" si="13"/>
        <v>#REF!</v>
      </c>
      <c r="I35" s="45" t="e">
        <f t="shared" ca="1" si="14"/>
        <v>#REF!</v>
      </c>
      <c r="J35" s="45" t="e">
        <f t="shared" ca="1" si="15"/>
        <v>#REF!</v>
      </c>
      <c r="M35" s="41" t="s">
        <v>123</v>
      </c>
      <c r="N35" s="42" t="s">
        <v>65</v>
      </c>
      <c r="O35" s="63" t="str">
        <f t="shared" si="16"/>
        <v/>
      </c>
      <c r="R35" s="41" t="s">
        <v>123</v>
      </c>
      <c r="S35" s="59" t="s">
        <v>65</v>
      </c>
      <c r="T35" s="63" t="str">
        <f t="shared" si="17"/>
        <v/>
      </c>
      <c r="V35" s="43" t="s">
        <v>69</v>
      </c>
      <c r="W35" s="59" t="s">
        <v>69</v>
      </c>
      <c r="X35" s="63" t="str">
        <f t="shared" si="18"/>
        <v/>
      </c>
    </row>
    <row r="36" spans="2:24" x14ac:dyDescent="0.2">
      <c r="B36" s="140"/>
      <c r="C36" s="41" t="s">
        <v>124</v>
      </c>
      <c r="D36" s="45" t="e">
        <f t="shared" ca="1" si="10"/>
        <v>#REF!</v>
      </c>
      <c r="E36" s="45" t="e">
        <f t="shared" ca="1" si="11"/>
        <v>#REF!</v>
      </c>
      <c r="F36" s="45" t="e">
        <f t="shared" ca="1" si="12"/>
        <v>#REF!</v>
      </c>
      <c r="G36" s="45" t="e">
        <f t="shared" ca="1" si="19"/>
        <v>#REF!</v>
      </c>
      <c r="H36" s="45" t="e">
        <f t="shared" ca="1" si="13"/>
        <v>#REF!</v>
      </c>
      <c r="I36" s="45" t="e">
        <f t="shared" ca="1" si="14"/>
        <v>#REF!</v>
      </c>
      <c r="J36" s="45" t="e">
        <f t="shared" ca="1" si="15"/>
        <v>#REF!</v>
      </c>
      <c r="M36" s="41" t="s">
        <v>63</v>
      </c>
      <c r="N36" s="42" t="s">
        <v>66</v>
      </c>
      <c r="O36" s="63" t="str">
        <f t="shared" si="16"/>
        <v/>
      </c>
      <c r="R36" s="41" t="s">
        <v>63</v>
      </c>
      <c r="S36" s="59" t="s">
        <v>66</v>
      </c>
      <c r="T36" s="63" t="str">
        <f t="shared" si="17"/>
        <v/>
      </c>
      <c r="V36" s="43" t="s">
        <v>70</v>
      </c>
      <c r="W36" s="59" t="s">
        <v>70</v>
      </c>
      <c r="X36" s="63" t="str">
        <f t="shared" si="18"/>
        <v/>
      </c>
    </row>
    <row r="37" spans="2:24" x14ac:dyDescent="0.2">
      <c r="B37" s="140"/>
      <c r="C37" s="41" t="s">
        <v>139</v>
      </c>
      <c r="D37" s="45" t="e">
        <f t="shared" ca="1" si="10"/>
        <v>#REF!</v>
      </c>
      <c r="E37" s="45" t="e">
        <f t="shared" ca="1" si="11"/>
        <v>#REF!</v>
      </c>
      <c r="F37" s="45" t="e">
        <f t="shared" ca="1" si="12"/>
        <v>#REF!</v>
      </c>
      <c r="G37" s="45" t="e">
        <f t="shared" ca="1" si="19"/>
        <v>#REF!</v>
      </c>
      <c r="H37" s="45" t="e">
        <f t="shared" ca="1" si="13"/>
        <v>#REF!</v>
      </c>
      <c r="I37" s="45" t="e">
        <f t="shared" ca="1" si="14"/>
        <v>#REF!</v>
      </c>
      <c r="J37" s="45" t="e">
        <f t="shared" ca="1" si="15"/>
        <v>#REF!</v>
      </c>
      <c r="M37" s="41" t="s">
        <v>124</v>
      </c>
      <c r="N37" s="42" t="s">
        <v>68</v>
      </c>
      <c r="O37" s="63" t="str">
        <f t="shared" si="16"/>
        <v/>
      </c>
      <c r="R37" s="41" t="s">
        <v>124</v>
      </c>
      <c r="S37" s="59" t="s">
        <v>68</v>
      </c>
      <c r="T37" s="63" t="str">
        <f t="shared" si="17"/>
        <v/>
      </c>
      <c r="V37" s="43" t="s">
        <v>71</v>
      </c>
      <c r="W37" s="59" t="s">
        <v>71</v>
      </c>
      <c r="X37" s="63" t="str">
        <f t="shared" si="18"/>
        <v/>
      </c>
    </row>
    <row r="38" spans="2:24" x14ac:dyDescent="0.2">
      <c r="B38" s="140"/>
      <c r="C38" s="41" t="s">
        <v>65</v>
      </c>
      <c r="D38" s="45" t="e">
        <f t="shared" ca="1" si="10"/>
        <v>#REF!</v>
      </c>
      <c r="E38" s="45" t="e">
        <f t="shared" ca="1" si="11"/>
        <v>#REF!</v>
      </c>
      <c r="F38" s="45" t="e">
        <f t="shared" ca="1" si="12"/>
        <v>#REF!</v>
      </c>
      <c r="G38" s="45" t="e">
        <f t="shared" ca="1" si="19"/>
        <v>#REF!</v>
      </c>
      <c r="H38" s="45" t="e">
        <f t="shared" ca="1" si="13"/>
        <v>#REF!</v>
      </c>
      <c r="I38" s="45" t="e">
        <f t="shared" ca="1" si="14"/>
        <v>#REF!</v>
      </c>
      <c r="J38" s="45" t="e">
        <f t="shared" ca="1" si="15"/>
        <v>#REF!</v>
      </c>
      <c r="M38" s="41" t="s">
        <v>139</v>
      </c>
      <c r="N38" s="42" t="s">
        <v>69</v>
      </c>
      <c r="O38" s="63" t="str">
        <f t="shared" si="16"/>
        <v/>
      </c>
      <c r="R38" s="41" t="s">
        <v>139</v>
      </c>
      <c r="S38" s="59" t="s">
        <v>69</v>
      </c>
      <c r="T38" s="63" t="str">
        <f t="shared" si="17"/>
        <v/>
      </c>
      <c r="V38" s="43" t="s">
        <v>71</v>
      </c>
      <c r="W38" s="59" t="s">
        <v>71</v>
      </c>
      <c r="X38" s="63" t="str">
        <f t="shared" si="18"/>
        <v/>
      </c>
    </row>
    <row r="39" spans="2:24" x14ac:dyDescent="0.2">
      <c r="B39" s="140"/>
      <c r="C39" s="41" t="s">
        <v>125</v>
      </c>
      <c r="D39" s="45" t="e">
        <f t="shared" ca="1" si="10"/>
        <v>#REF!</v>
      </c>
      <c r="E39" s="45" t="e">
        <f t="shared" ca="1" si="11"/>
        <v>#REF!</v>
      </c>
      <c r="F39" s="45" t="e">
        <f t="shared" ca="1" si="12"/>
        <v>#REF!</v>
      </c>
      <c r="G39" s="45" t="e">
        <f t="shared" ca="1" si="19"/>
        <v>#REF!</v>
      </c>
      <c r="H39" s="45" t="e">
        <f t="shared" ca="1" si="13"/>
        <v>#REF!</v>
      </c>
      <c r="I39" s="45" t="e">
        <f t="shared" ca="1" si="14"/>
        <v>#REF!</v>
      </c>
      <c r="J39" s="45" t="e">
        <f t="shared" ca="1" si="15"/>
        <v>#REF!</v>
      </c>
      <c r="M39" s="41" t="s">
        <v>65</v>
      </c>
      <c r="N39" s="42" t="s">
        <v>70</v>
      </c>
      <c r="O39" s="63" t="str">
        <f t="shared" si="16"/>
        <v/>
      </c>
      <c r="R39" s="41" t="s">
        <v>65</v>
      </c>
      <c r="S39" s="59" t="s">
        <v>70</v>
      </c>
      <c r="T39" s="63" t="str">
        <f t="shared" si="17"/>
        <v/>
      </c>
      <c r="V39" s="43" t="s">
        <v>74</v>
      </c>
      <c r="W39" s="59" t="s">
        <v>74</v>
      </c>
      <c r="X39" s="63" t="str">
        <f t="shared" si="18"/>
        <v/>
      </c>
    </row>
    <row r="40" spans="2:24" x14ac:dyDescent="0.2">
      <c r="B40" s="140"/>
      <c r="C40" s="41" t="s">
        <v>66</v>
      </c>
      <c r="D40" s="45" t="e">
        <f t="shared" ca="1" si="10"/>
        <v>#REF!</v>
      </c>
      <c r="E40" s="45" t="e">
        <f t="shared" ca="1" si="11"/>
        <v>#REF!</v>
      </c>
      <c r="F40" s="45" t="e">
        <f t="shared" ca="1" si="12"/>
        <v>#REF!</v>
      </c>
      <c r="G40" s="45" t="e">
        <f t="shared" ca="1" si="19"/>
        <v>#REF!</v>
      </c>
      <c r="H40" s="45" t="e">
        <f t="shared" ca="1" si="13"/>
        <v>#REF!</v>
      </c>
      <c r="I40" s="45" t="e">
        <f t="shared" ca="1" si="14"/>
        <v>#REF!</v>
      </c>
      <c r="J40" s="45" t="e">
        <f t="shared" ca="1" si="15"/>
        <v>#REF!</v>
      </c>
      <c r="M40" s="41" t="s">
        <v>125</v>
      </c>
      <c r="N40" s="42" t="s">
        <v>71</v>
      </c>
      <c r="O40" s="63" t="str">
        <f t="shared" si="16"/>
        <v/>
      </c>
      <c r="R40" s="41" t="s">
        <v>125</v>
      </c>
      <c r="S40" s="59" t="s">
        <v>71</v>
      </c>
      <c r="T40" s="63" t="str">
        <f t="shared" si="17"/>
        <v/>
      </c>
      <c r="V40" s="43"/>
      <c r="W40" s="59" t="s">
        <v>75</v>
      </c>
      <c r="X40" s="63" t="str">
        <f t="shared" si="18"/>
        <v>no match</v>
      </c>
    </row>
    <row r="41" spans="2:24" x14ac:dyDescent="0.2">
      <c r="B41" s="140"/>
      <c r="C41" s="41" t="s">
        <v>67</v>
      </c>
      <c r="D41" s="45" t="e">
        <f t="shared" ca="1" si="10"/>
        <v>#REF!</v>
      </c>
      <c r="E41" s="45" t="e">
        <f t="shared" ca="1" si="11"/>
        <v>#REF!</v>
      </c>
      <c r="F41" s="45" t="e">
        <f t="shared" ca="1" si="12"/>
        <v>#REF!</v>
      </c>
      <c r="G41" s="45" t="e">
        <f t="shared" ca="1" si="19"/>
        <v>#REF!</v>
      </c>
      <c r="H41" s="45" t="e">
        <f t="shared" ca="1" si="13"/>
        <v>#REF!</v>
      </c>
      <c r="I41" s="45" t="e">
        <f t="shared" ca="1" si="14"/>
        <v>#REF!</v>
      </c>
      <c r="J41" s="45" t="e">
        <f t="shared" ca="1" si="15"/>
        <v>#REF!</v>
      </c>
      <c r="M41" s="41" t="s">
        <v>66</v>
      </c>
      <c r="N41" s="42" t="s">
        <v>71</v>
      </c>
      <c r="O41" s="63" t="str">
        <f t="shared" si="16"/>
        <v/>
      </c>
      <c r="R41" s="41" t="s">
        <v>66</v>
      </c>
      <c r="S41" s="59" t="s">
        <v>71</v>
      </c>
      <c r="T41" s="63" t="str">
        <f t="shared" si="17"/>
        <v/>
      </c>
      <c r="V41" s="43"/>
      <c r="W41" s="59" t="s">
        <v>76</v>
      </c>
      <c r="X41" s="63" t="str">
        <f t="shared" si="18"/>
        <v>no match</v>
      </c>
    </row>
    <row r="42" spans="2:24" x14ac:dyDescent="0.2">
      <c r="B42" s="140"/>
      <c r="C42" s="41" t="s">
        <v>68</v>
      </c>
      <c r="D42" s="45" t="e">
        <f t="shared" ca="1" si="10"/>
        <v>#REF!</v>
      </c>
      <c r="E42" s="45" t="e">
        <f t="shared" ca="1" si="11"/>
        <v>#REF!</v>
      </c>
      <c r="F42" s="45" t="e">
        <f t="shared" ca="1" si="12"/>
        <v>#REF!</v>
      </c>
      <c r="G42" s="45" t="e">
        <f t="shared" ca="1" si="19"/>
        <v>#REF!</v>
      </c>
      <c r="H42" s="45" t="e">
        <f t="shared" ca="1" si="13"/>
        <v>#REF!</v>
      </c>
      <c r="I42" s="45" t="e">
        <f t="shared" ca="1" si="14"/>
        <v>#REF!</v>
      </c>
      <c r="J42" s="45" t="e">
        <f t="shared" ca="1" si="15"/>
        <v>#REF!</v>
      </c>
      <c r="M42" s="41" t="s">
        <v>67</v>
      </c>
      <c r="N42" s="42" t="s">
        <v>74</v>
      </c>
      <c r="O42" s="63" t="str">
        <f t="shared" si="16"/>
        <v/>
      </c>
      <c r="R42" s="41" t="s">
        <v>67</v>
      </c>
      <c r="S42" s="59" t="s">
        <v>74</v>
      </c>
      <c r="T42" s="63" t="str">
        <f t="shared" si="17"/>
        <v/>
      </c>
      <c r="V42" s="43"/>
      <c r="W42" s="59" t="s">
        <v>77</v>
      </c>
      <c r="X42" s="63" t="str">
        <f t="shared" si="18"/>
        <v>no match</v>
      </c>
    </row>
    <row r="43" spans="2:24" x14ac:dyDescent="0.2">
      <c r="B43" s="140"/>
      <c r="C43" s="41" t="s">
        <v>69</v>
      </c>
      <c r="D43" s="45" t="e">
        <f t="shared" ca="1" si="10"/>
        <v>#REF!</v>
      </c>
      <c r="E43" s="45" t="e">
        <f t="shared" ca="1" si="11"/>
        <v>#REF!</v>
      </c>
      <c r="F43" s="45" t="e">
        <f t="shared" ca="1" si="12"/>
        <v>#REF!</v>
      </c>
      <c r="G43" s="45" t="e">
        <f t="shared" ca="1" si="19"/>
        <v>#REF!</v>
      </c>
      <c r="H43" s="45" t="e">
        <f t="shared" ca="1" si="13"/>
        <v>#REF!</v>
      </c>
      <c r="I43" s="45" t="e">
        <f t="shared" ca="1" si="14"/>
        <v>#REF!</v>
      </c>
      <c r="J43" s="45" t="e">
        <f t="shared" ca="1" si="15"/>
        <v>#REF!</v>
      </c>
      <c r="M43" s="41" t="s">
        <v>68</v>
      </c>
      <c r="N43" s="42"/>
      <c r="O43" s="63" t="str">
        <f t="shared" si="16"/>
        <v/>
      </c>
      <c r="R43" s="41" t="s">
        <v>68</v>
      </c>
      <c r="S43" s="59"/>
      <c r="T43" s="63" t="str">
        <f t="shared" si="17"/>
        <v/>
      </c>
      <c r="V43" s="43"/>
      <c r="W43" s="59" t="s">
        <v>116</v>
      </c>
      <c r="X43" s="63" t="str">
        <f t="shared" si="18"/>
        <v>no match</v>
      </c>
    </row>
    <row r="44" spans="2:24" x14ac:dyDescent="0.2">
      <c r="B44" s="140"/>
      <c r="C44" s="41" t="s">
        <v>70</v>
      </c>
      <c r="D44" s="45" t="e">
        <f t="shared" ca="1" si="10"/>
        <v>#REF!</v>
      </c>
      <c r="E44" s="45" t="e">
        <f t="shared" ca="1" si="11"/>
        <v>#REF!</v>
      </c>
      <c r="F44" s="45" t="e">
        <f t="shared" ca="1" si="12"/>
        <v>#REF!</v>
      </c>
      <c r="G44" s="45" t="e">
        <f t="shared" ca="1" si="19"/>
        <v>#REF!</v>
      </c>
      <c r="H44" s="45" t="e">
        <f t="shared" ca="1" si="13"/>
        <v>#REF!</v>
      </c>
      <c r="I44" s="45" t="e">
        <f t="shared" ca="1" si="14"/>
        <v>#REF!</v>
      </c>
      <c r="J44" s="45" t="e">
        <f t="shared" ca="1" si="15"/>
        <v>#REF!</v>
      </c>
      <c r="M44" s="41" t="s">
        <v>69</v>
      </c>
      <c r="N44" s="42"/>
      <c r="O44" s="63" t="str">
        <f t="shared" si="16"/>
        <v/>
      </c>
      <c r="R44" s="41" t="s">
        <v>69</v>
      </c>
      <c r="S44" s="59"/>
      <c r="T44" s="63" t="str">
        <f t="shared" si="17"/>
        <v/>
      </c>
      <c r="V44" s="43"/>
      <c r="W44" s="59" t="s">
        <v>78</v>
      </c>
      <c r="X44" s="63" t="str">
        <f t="shared" si="18"/>
        <v>no match</v>
      </c>
    </row>
    <row r="45" spans="2:24" x14ac:dyDescent="0.2">
      <c r="B45" s="140"/>
      <c r="C45" s="41" t="s">
        <v>71</v>
      </c>
      <c r="D45" s="45" t="e">
        <f t="shared" ca="1" si="10"/>
        <v>#REF!</v>
      </c>
      <c r="E45" s="45" t="e">
        <f t="shared" ca="1" si="11"/>
        <v>#REF!</v>
      </c>
      <c r="F45" s="45" t="e">
        <f t="shared" ca="1" si="12"/>
        <v>#REF!</v>
      </c>
      <c r="G45" s="45" t="e">
        <f t="shared" ca="1" si="19"/>
        <v>#REF!</v>
      </c>
      <c r="H45" s="45" t="e">
        <f t="shared" ca="1" si="13"/>
        <v>#REF!</v>
      </c>
      <c r="I45" s="45" t="e">
        <f t="shared" ca="1" si="14"/>
        <v>#REF!</v>
      </c>
      <c r="J45" s="45" t="e">
        <f t="shared" ca="1" si="15"/>
        <v>#REF!</v>
      </c>
      <c r="M45" s="41" t="s">
        <v>70</v>
      </c>
      <c r="N45" s="42"/>
      <c r="O45" s="63" t="str">
        <f t="shared" si="16"/>
        <v/>
      </c>
      <c r="R45" s="41" t="s">
        <v>70</v>
      </c>
      <c r="S45" s="59"/>
      <c r="T45" s="63" t="str">
        <f t="shared" si="17"/>
        <v/>
      </c>
      <c r="V45" s="43"/>
      <c r="W45" s="59" t="s">
        <v>79</v>
      </c>
      <c r="X45" s="63" t="str">
        <f t="shared" si="18"/>
        <v>no match</v>
      </c>
    </row>
    <row r="46" spans="2:24" x14ac:dyDescent="0.2">
      <c r="B46" s="140"/>
      <c r="C46" s="41" t="s">
        <v>91</v>
      </c>
      <c r="D46" s="45" t="e">
        <f t="shared" ca="1" si="10"/>
        <v>#REF!</v>
      </c>
      <c r="E46" s="45" t="e">
        <f t="shared" ca="1" si="11"/>
        <v>#REF!</v>
      </c>
      <c r="F46" s="45" t="e">
        <f t="shared" ca="1" si="12"/>
        <v>#REF!</v>
      </c>
      <c r="G46" s="45" t="e">
        <f t="shared" ca="1" si="19"/>
        <v>#REF!</v>
      </c>
      <c r="H46" s="45" t="e">
        <f t="shared" ca="1" si="13"/>
        <v>#REF!</v>
      </c>
      <c r="I46" s="45" t="e">
        <f t="shared" ca="1" si="14"/>
        <v>#REF!</v>
      </c>
      <c r="J46" s="45" t="e">
        <f t="shared" ca="1" si="15"/>
        <v>#REF!</v>
      </c>
      <c r="M46" s="41" t="s">
        <v>71</v>
      </c>
      <c r="N46" s="42"/>
      <c r="O46" s="63" t="str">
        <f t="shared" si="16"/>
        <v/>
      </c>
      <c r="R46" s="41" t="s">
        <v>71</v>
      </c>
      <c r="S46" s="59"/>
      <c r="T46" s="63" t="str">
        <f t="shared" si="17"/>
        <v/>
      </c>
      <c r="V46" s="43"/>
      <c r="W46" s="59" t="s">
        <v>82</v>
      </c>
      <c r="X46" s="63" t="str">
        <f t="shared" si="18"/>
        <v>no match</v>
      </c>
    </row>
    <row r="47" spans="2:24" x14ac:dyDescent="0.2">
      <c r="B47" s="140"/>
      <c r="C47" s="41" t="s">
        <v>137</v>
      </c>
      <c r="D47" s="45" t="e">
        <f t="shared" ca="1" si="10"/>
        <v>#REF!</v>
      </c>
      <c r="E47" s="45" t="e">
        <f t="shared" ca="1" si="11"/>
        <v>#REF!</v>
      </c>
      <c r="F47" s="45" t="e">
        <f t="shared" ca="1" si="12"/>
        <v>#REF!</v>
      </c>
      <c r="G47" s="45" t="e">
        <f t="shared" ca="1" si="19"/>
        <v>#REF!</v>
      </c>
      <c r="H47" s="45" t="e">
        <f t="shared" ca="1" si="13"/>
        <v>#REF!</v>
      </c>
      <c r="I47" s="45" t="e">
        <f t="shared" ca="1" si="14"/>
        <v>#REF!</v>
      </c>
      <c r="J47" s="45" t="e">
        <f t="shared" ca="1" si="15"/>
        <v>#REF!</v>
      </c>
      <c r="M47" s="41" t="s">
        <v>91</v>
      </c>
      <c r="N47" s="42"/>
      <c r="O47" s="63" t="str">
        <f t="shared" si="16"/>
        <v>no match</v>
      </c>
      <c r="R47" s="41" t="s">
        <v>91</v>
      </c>
      <c r="S47" s="59"/>
      <c r="T47" s="63" t="str">
        <f t="shared" si="17"/>
        <v>no match</v>
      </c>
      <c r="V47" s="43"/>
      <c r="W47" s="59" t="s">
        <v>80</v>
      </c>
      <c r="X47" s="63" t="str">
        <f t="shared" si="18"/>
        <v>no match</v>
      </c>
    </row>
    <row r="48" spans="2:24" x14ac:dyDescent="0.2">
      <c r="B48" s="140"/>
      <c r="C48" s="41" t="s">
        <v>90</v>
      </c>
      <c r="D48" s="45" t="e">
        <f t="shared" ca="1" si="10"/>
        <v>#REF!</v>
      </c>
      <c r="E48" s="45" t="e">
        <f t="shared" ca="1" si="11"/>
        <v>#REF!</v>
      </c>
      <c r="F48" s="45" t="e">
        <f t="shared" ca="1" si="12"/>
        <v>#REF!</v>
      </c>
      <c r="G48" s="45" t="e">
        <f t="shared" ca="1" si="19"/>
        <v>#REF!</v>
      </c>
      <c r="H48" s="45" t="e">
        <f t="shared" ca="1" si="13"/>
        <v>#REF!</v>
      </c>
      <c r="I48" s="45" t="e">
        <f t="shared" ca="1" si="14"/>
        <v>#REF!</v>
      </c>
      <c r="J48" s="45" t="e">
        <f t="shared" ca="1" si="15"/>
        <v>#REF!</v>
      </c>
      <c r="M48" s="41" t="s">
        <v>137</v>
      </c>
      <c r="N48" s="42"/>
      <c r="O48" s="63" t="str">
        <f t="shared" si="16"/>
        <v>no match</v>
      </c>
      <c r="R48" s="41" t="s">
        <v>137</v>
      </c>
      <c r="S48" s="59"/>
      <c r="T48" s="63" t="str">
        <f t="shared" si="17"/>
        <v>no match</v>
      </c>
      <c r="V48" s="43"/>
      <c r="W48" s="59" t="s">
        <v>83</v>
      </c>
      <c r="X48" s="63" t="str">
        <f t="shared" si="18"/>
        <v>no match</v>
      </c>
    </row>
    <row r="49" spans="2:24" x14ac:dyDescent="0.2">
      <c r="B49" s="140"/>
      <c r="C49" s="41" t="s">
        <v>72</v>
      </c>
      <c r="D49" s="45" t="e">
        <f t="shared" ca="1" si="10"/>
        <v>#REF!</v>
      </c>
      <c r="E49" s="45" t="e">
        <f t="shared" ca="1" si="11"/>
        <v>#REF!</v>
      </c>
      <c r="F49" s="45" t="e">
        <f t="shared" ca="1" si="12"/>
        <v>#REF!</v>
      </c>
      <c r="G49" s="45" t="e">
        <f t="shared" ca="1" si="19"/>
        <v>#REF!</v>
      </c>
      <c r="H49" s="45" t="e">
        <f t="shared" ca="1" si="13"/>
        <v>#REF!</v>
      </c>
      <c r="I49" s="45" t="e">
        <f t="shared" ca="1" si="14"/>
        <v>#REF!</v>
      </c>
      <c r="J49" s="45" t="e">
        <f t="shared" ca="1" si="15"/>
        <v>#REF!</v>
      </c>
      <c r="M49" s="41" t="s">
        <v>90</v>
      </c>
      <c r="N49" s="42"/>
      <c r="O49" s="63" t="str">
        <f t="shared" si="16"/>
        <v/>
      </c>
      <c r="R49" s="41" t="s">
        <v>90</v>
      </c>
      <c r="S49" s="59"/>
      <c r="T49" s="63" t="str">
        <f t="shared" si="17"/>
        <v/>
      </c>
      <c r="V49" s="43"/>
      <c r="W49" s="59" t="s">
        <v>115</v>
      </c>
      <c r="X49" s="63" t="str">
        <f t="shared" si="18"/>
        <v>no match</v>
      </c>
    </row>
    <row r="50" spans="2:24" x14ac:dyDescent="0.2">
      <c r="B50" s="140"/>
      <c r="C50" s="41" t="s">
        <v>73</v>
      </c>
      <c r="D50" s="45" t="e">
        <f t="shared" ca="1" si="10"/>
        <v>#REF!</v>
      </c>
      <c r="E50" s="45" t="e">
        <f t="shared" ca="1" si="11"/>
        <v>#REF!</v>
      </c>
      <c r="F50" s="45" t="e">
        <f t="shared" ca="1" si="12"/>
        <v>#REF!</v>
      </c>
      <c r="G50" s="45" t="e">
        <f t="shared" ca="1" si="19"/>
        <v>#REF!</v>
      </c>
      <c r="H50" s="45" t="e">
        <f t="shared" ca="1" si="13"/>
        <v>#REF!</v>
      </c>
      <c r="I50" s="45" t="e">
        <f t="shared" ca="1" si="14"/>
        <v>#REF!</v>
      </c>
      <c r="J50" s="45" t="e">
        <f t="shared" ca="1" si="15"/>
        <v>#REF!</v>
      </c>
      <c r="M50" s="41" t="s">
        <v>72</v>
      </c>
      <c r="N50" s="42"/>
      <c r="O50" s="63" t="str">
        <f t="shared" si="16"/>
        <v>no match</v>
      </c>
      <c r="R50" s="41" t="s">
        <v>72</v>
      </c>
      <c r="S50" s="59"/>
      <c r="T50" s="63" t="str">
        <f t="shared" si="17"/>
        <v>no match</v>
      </c>
      <c r="V50" s="43"/>
      <c r="W50" s="59" t="s">
        <v>144</v>
      </c>
      <c r="X50" s="63" t="str">
        <f t="shared" si="18"/>
        <v>no match</v>
      </c>
    </row>
    <row r="51" spans="2:24" x14ac:dyDescent="0.2">
      <c r="B51" s="140"/>
      <c r="C51" s="41" t="s">
        <v>74</v>
      </c>
      <c r="D51" s="45" t="e">
        <f t="shared" ca="1" si="10"/>
        <v>#REF!</v>
      </c>
      <c r="E51" s="45" t="e">
        <f t="shared" ca="1" si="11"/>
        <v>#REF!</v>
      </c>
      <c r="F51" s="45" t="e">
        <f t="shared" ca="1" si="12"/>
        <v>#REF!</v>
      </c>
      <c r="G51" s="45" t="e">
        <f t="shared" ca="1" si="19"/>
        <v>#REF!</v>
      </c>
      <c r="H51" s="45" t="e">
        <f t="shared" ca="1" si="13"/>
        <v>#REF!</v>
      </c>
      <c r="I51" s="45" t="e">
        <f t="shared" ca="1" si="14"/>
        <v>#REF!</v>
      </c>
      <c r="J51" s="45" t="e">
        <f t="shared" ca="1" si="15"/>
        <v>#REF!</v>
      </c>
      <c r="M51" s="41" t="s">
        <v>73</v>
      </c>
      <c r="N51" s="42"/>
      <c r="O51" s="63" t="str">
        <f t="shared" si="16"/>
        <v>no match</v>
      </c>
      <c r="R51" s="41" t="s">
        <v>73</v>
      </c>
      <c r="S51" s="59"/>
      <c r="T51" s="63" t="str">
        <f t="shared" si="17"/>
        <v>no match</v>
      </c>
      <c r="V51" s="43"/>
      <c r="W51" s="59" t="s">
        <v>5</v>
      </c>
      <c r="X51" s="63" t="str">
        <f t="shared" si="18"/>
        <v>no match</v>
      </c>
    </row>
    <row r="52" spans="2:24" x14ac:dyDescent="0.2">
      <c r="B52" s="140"/>
      <c r="C52" s="69" t="s">
        <v>138</v>
      </c>
      <c r="D52" s="70" t="s">
        <v>182</v>
      </c>
      <c r="E52" s="70" t="s">
        <v>183</v>
      </c>
      <c r="F52" s="45"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45" t="e">
        <f t="shared" ca="1" si="19"/>
        <v>#REF!</v>
      </c>
      <c r="H52" s="45"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45"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70" t="s">
        <v>184</v>
      </c>
      <c r="M52" s="41" t="s">
        <v>74</v>
      </c>
      <c r="N52" s="42"/>
      <c r="O52" s="63" t="str">
        <f t="shared" si="16"/>
        <v/>
      </c>
      <c r="R52" s="41" t="s">
        <v>74</v>
      </c>
      <c r="S52" s="59"/>
      <c r="T52" s="63" t="str">
        <f t="shared" si="17"/>
        <v/>
      </c>
      <c r="V52" s="43"/>
      <c r="W52" s="59" t="s">
        <v>6</v>
      </c>
      <c r="X52" s="63" t="str">
        <f t="shared" si="18"/>
        <v>no match</v>
      </c>
    </row>
    <row r="53" spans="2:24" x14ac:dyDescent="0.2">
      <c r="B53" s="140"/>
      <c r="C53" s="41" t="s">
        <v>64</v>
      </c>
      <c r="D53" s="45"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45"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45"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45" t="e">
        <f t="shared" ca="1" si="19"/>
        <v>#REF!</v>
      </c>
      <c r="H53" s="45"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45"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45"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41" t="s">
        <v>138</v>
      </c>
      <c r="N53" s="42"/>
      <c r="O53" s="63" t="str">
        <f t="shared" si="16"/>
        <v>no match</v>
      </c>
      <c r="R53" s="41" t="s">
        <v>138</v>
      </c>
      <c r="S53" s="59"/>
      <c r="T53" s="63" t="str">
        <f t="shared" si="17"/>
        <v>no match</v>
      </c>
      <c r="V53" s="43"/>
      <c r="W53" s="59" t="s">
        <v>10</v>
      </c>
      <c r="X53" s="63" t="str">
        <f t="shared" si="18"/>
        <v>no match</v>
      </c>
    </row>
    <row r="54" spans="2:24" x14ac:dyDescent="0.2">
      <c r="B54" s="140"/>
      <c r="C54" s="41" t="s">
        <v>126</v>
      </c>
      <c r="D54" s="45" t="e">
        <f t="shared" ca="1" si="20"/>
        <v>#REF!</v>
      </c>
      <c r="E54" s="45" t="e">
        <f t="shared" ca="1" si="21"/>
        <v>#REF!</v>
      </c>
      <c r="F54" s="45" t="e">
        <f t="shared" ca="1" si="22"/>
        <v>#REF!</v>
      </c>
      <c r="G54" s="45" t="e">
        <f t="shared" ca="1" si="19"/>
        <v>#REF!</v>
      </c>
      <c r="H54" s="45" t="e">
        <f t="shared" ca="1" si="23"/>
        <v>#REF!</v>
      </c>
      <c r="I54" s="45" t="e">
        <f t="shared" ca="1" si="24"/>
        <v>#REF!</v>
      </c>
      <c r="J54" s="45" t="e">
        <f t="shared" ca="1" si="25"/>
        <v>#REF!</v>
      </c>
      <c r="M54" s="41" t="s">
        <v>64</v>
      </c>
      <c r="N54" s="42"/>
      <c r="O54" s="63" t="str">
        <f t="shared" si="16"/>
        <v>no match</v>
      </c>
      <c r="R54" s="41" t="s">
        <v>64</v>
      </c>
      <c r="S54" s="59"/>
      <c r="T54" s="63" t="str">
        <f t="shared" si="17"/>
        <v>no match</v>
      </c>
      <c r="V54" s="43"/>
      <c r="W54" s="59" t="s">
        <v>37</v>
      </c>
      <c r="X54" s="63" t="str">
        <f t="shared" si="18"/>
        <v>no match</v>
      </c>
    </row>
    <row r="55" spans="2:24" x14ac:dyDescent="0.2">
      <c r="B55" s="137" t="s">
        <v>140</v>
      </c>
      <c r="C55" s="42" t="s">
        <v>62</v>
      </c>
      <c r="D55" s="46" t="e">
        <f t="shared" ca="1" si="20"/>
        <v>#REF!</v>
      </c>
      <c r="E55" s="46" t="e">
        <f t="shared" ca="1" si="21"/>
        <v>#REF!</v>
      </c>
      <c r="F55" s="46" t="e">
        <f t="shared" ca="1" si="22"/>
        <v>#REF!</v>
      </c>
      <c r="G55" s="46" t="e">
        <f t="shared" ca="1" si="19"/>
        <v>#REF!</v>
      </c>
      <c r="H55" s="46" t="e">
        <f t="shared" ca="1" si="23"/>
        <v>#REF!</v>
      </c>
      <c r="I55" s="46" t="e">
        <f t="shared" ca="1" si="24"/>
        <v>#REF!</v>
      </c>
      <c r="J55" s="46" t="e">
        <f t="shared" ca="1" si="25"/>
        <v>#REF!</v>
      </c>
      <c r="M55" s="41" t="s">
        <v>126</v>
      </c>
      <c r="N55" s="42"/>
      <c r="O55" s="63" t="str">
        <f t="shared" si="16"/>
        <v>no match</v>
      </c>
      <c r="R55" s="41" t="s">
        <v>126</v>
      </c>
      <c r="S55" s="59"/>
      <c r="T55" s="63" t="str">
        <f t="shared" si="17"/>
        <v>no match</v>
      </c>
      <c r="V55" s="43"/>
      <c r="W55" s="59" t="s">
        <v>150</v>
      </c>
      <c r="X55" s="63" t="str">
        <f t="shared" si="18"/>
        <v>no match</v>
      </c>
    </row>
    <row r="56" spans="2:24" x14ac:dyDescent="0.2">
      <c r="B56" s="137"/>
      <c r="C56" s="42" t="s">
        <v>90</v>
      </c>
      <c r="D56" s="46" t="e">
        <f t="shared" ca="1" si="20"/>
        <v>#REF!</v>
      </c>
      <c r="E56" s="46" t="e">
        <f t="shared" ca="1" si="21"/>
        <v>#REF!</v>
      </c>
      <c r="F56" s="46" t="e">
        <f t="shared" ca="1" si="22"/>
        <v>#REF!</v>
      </c>
      <c r="G56" s="46" t="e">
        <f t="shared" ca="1" si="19"/>
        <v>#REF!</v>
      </c>
      <c r="H56" s="46" t="e">
        <f t="shared" ca="1" si="23"/>
        <v>#REF!</v>
      </c>
      <c r="I56" s="46" t="e">
        <f t="shared" ca="1" si="24"/>
        <v>#REF!</v>
      </c>
      <c r="J56" s="46" t="e">
        <f t="shared" ca="1" si="25"/>
        <v>#REF!</v>
      </c>
      <c r="M56" s="41" t="s">
        <v>9</v>
      </c>
      <c r="N56" s="42"/>
      <c r="O56" s="63" t="str">
        <f t="shared" si="16"/>
        <v>no match</v>
      </c>
      <c r="R56" s="41" t="s">
        <v>9</v>
      </c>
      <c r="S56" s="59"/>
      <c r="T56" s="63" t="str">
        <f t="shared" si="17"/>
        <v>no match</v>
      </c>
      <c r="V56" s="43"/>
      <c r="W56" s="59" t="s">
        <v>117</v>
      </c>
      <c r="X56" s="63" t="str">
        <f t="shared" si="18"/>
        <v>no match</v>
      </c>
    </row>
    <row r="57" spans="2:24" x14ac:dyDescent="0.2">
      <c r="B57" s="137"/>
      <c r="C57" s="42" t="s">
        <v>65</v>
      </c>
      <c r="D57" s="46" t="e">
        <f t="shared" ca="1" si="20"/>
        <v>#REF!</v>
      </c>
      <c r="E57" s="46" t="e">
        <f t="shared" ca="1" si="21"/>
        <v>#REF!</v>
      </c>
      <c r="F57" s="46" t="e">
        <f t="shared" ca="1" si="22"/>
        <v>#REF!</v>
      </c>
      <c r="G57" s="46" t="e">
        <f t="shared" ca="1" si="19"/>
        <v>#REF!</v>
      </c>
      <c r="H57" s="46" t="e">
        <f t="shared" ca="1" si="23"/>
        <v>#REF!</v>
      </c>
      <c r="I57" s="46" t="e">
        <f t="shared" ca="1" si="24"/>
        <v>#REF!</v>
      </c>
      <c r="J57" s="46" t="e">
        <f t="shared" ca="1" si="25"/>
        <v>#REF!</v>
      </c>
      <c r="M57" s="41" t="s">
        <v>75</v>
      </c>
      <c r="N57" s="42"/>
      <c r="O57" s="63" t="str">
        <f t="shared" si="16"/>
        <v>no match</v>
      </c>
      <c r="R57" s="41" t="s">
        <v>75</v>
      </c>
      <c r="S57" s="59" t="s">
        <v>75</v>
      </c>
      <c r="T57" s="63" t="str">
        <f>IF(OR(IF(ISNA(VLOOKUP(R57,$S$4:$S$130,1,)),FALSE,TRUE),IF(ISNA(VLOOKUP(#REF!,$R$4:$R$130,1,)),FALSE,TRUE))=FALSE, "no match","")</f>
        <v/>
      </c>
      <c r="V57" s="43"/>
      <c r="W57" s="59" t="s">
        <v>39</v>
      </c>
      <c r="X57" s="63" t="str">
        <f t="shared" si="18"/>
        <v>no match</v>
      </c>
    </row>
    <row r="58" spans="2:24" x14ac:dyDescent="0.2">
      <c r="B58" s="137"/>
      <c r="C58" s="42" t="s">
        <v>66</v>
      </c>
      <c r="D58" s="46" t="e">
        <f t="shared" ca="1" si="20"/>
        <v>#REF!</v>
      </c>
      <c r="E58" s="46" t="e">
        <f t="shared" ca="1" si="21"/>
        <v>#REF!</v>
      </c>
      <c r="F58" s="46" t="e">
        <f t="shared" ca="1" si="22"/>
        <v>#REF!</v>
      </c>
      <c r="G58" s="46" t="e">
        <f t="shared" ca="1" si="19"/>
        <v>#REF!</v>
      </c>
      <c r="H58" s="46" t="e">
        <f t="shared" ca="1" si="23"/>
        <v>#REF!</v>
      </c>
      <c r="I58" s="46" t="e">
        <f t="shared" ca="1" si="24"/>
        <v>#REF!</v>
      </c>
      <c r="J58" s="46" t="e">
        <f t="shared" ca="1" si="25"/>
        <v>#REF!</v>
      </c>
      <c r="M58" s="41" t="s">
        <v>76</v>
      </c>
      <c r="N58" s="42"/>
      <c r="O58" s="63" t="str">
        <f t="shared" si="16"/>
        <v>no match</v>
      </c>
      <c r="R58" s="41" t="s">
        <v>76</v>
      </c>
      <c r="S58" s="59" t="s">
        <v>76</v>
      </c>
      <c r="T58" s="63" t="str">
        <f>IF(OR(IF(ISNA(VLOOKUP(R58,$S$4:$S$130,1,)),FALSE,TRUE),IF(ISNA(VLOOKUP(#REF!,$R$4:$R$130,1,)),FALSE,TRUE))=FALSE, "no match","")</f>
        <v/>
      </c>
      <c r="V58" s="43"/>
      <c r="W58" s="59" t="s">
        <v>38</v>
      </c>
      <c r="X58" s="63" t="str">
        <f t="shared" si="18"/>
        <v>no match</v>
      </c>
    </row>
    <row r="59" spans="2:24" x14ac:dyDescent="0.2">
      <c r="B59" s="137"/>
      <c r="C59" s="42" t="s">
        <v>68</v>
      </c>
      <c r="D59" s="46" t="e">
        <f t="shared" ca="1" si="20"/>
        <v>#REF!</v>
      </c>
      <c r="E59" s="46" t="e">
        <f t="shared" ca="1" si="21"/>
        <v>#REF!</v>
      </c>
      <c r="F59" s="46" t="e">
        <f t="shared" ca="1" si="22"/>
        <v>#REF!</v>
      </c>
      <c r="G59" s="46" t="e">
        <f t="shared" ca="1" si="19"/>
        <v>#REF!</v>
      </c>
      <c r="H59" s="46" t="e">
        <f t="shared" ca="1" si="23"/>
        <v>#REF!</v>
      </c>
      <c r="I59" s="46" t="e">
        <f t="shared" ca="1" si="24"/>
        <v>#REF!</v>
      </c>
      <c r="J59" s="46" t="e">
        <f t="shared" ca="1" si="25"/>
        <v>#REF!</v>
      </c>
      <c r="M59" s="41" t="s">
        <v>77</v>
      </c>
      <c r="N59" s="42"/>
      <c r="O59" s="63" t="str">
        <f t="shared" si="16"/>
        <v>no match</v>
      </c>
      <c r="R59" s="41" t="s">
        <v>77</v>
      </c>
      <c r="S59" s="59" t="s">
        <v>77</v>
      </c>
      <c r="T59" s="63" t="str">
        <f>IF(OR(IF(ISNA(VLOOKUP(R59,$S$4:$S$130,1,)),FALSE,TRUE),IF(ISNA(VLOOKUP(#REF!,$R$4:$R$130,1,)),FALSE,TRUE))=FALSE, "no match","")</f>
        <v/>
      </c>
      <c r="V59" s="43"/>
      <c r="W59" s="59" t="s">
        <v>118</v>
      </c>
      <c r="X59" s="63" t="str">
        <f t="shared" si="18"/>
        <v>no match</v>
      </c>
    </row>
    <row r="60" spans="2:24" x14ac:dyDescent="0.2">
      <c r="B60" s="137"/>
      <c r="C60" s="42" t="s">
        <v>69</v>
      </c>
      <c r="D60" s="46" t="e">
        <f t="shared" ca="1" si="20"/>
        <v>#REF!</v>
      </c>
      <c r="E60" s="46" t="e">
        <f t="shared" ca="1" si="21"/>
        <v>#REF!</v>
      </c>
      <c r="F60" s="46" t="e">
        <f t="shared" ca="1" si="22"/>
        <v>#REF!</v>
      </c>
      <c r="G60" s="46" t="e">
        <f t="shared" ca="1" si="19"/>
        <v>#REF!</v>
      </c>
      <c r="H60" s="46" t="e">
        <f t="shared" ca="1" si="23"/>
        <v>#REF!</v>
      </c>
      <c r="I60" s="46" t="e">
        <f t="shared" ca="1" si="24"/>
        <v>#REF!</v>
      </c>
      <c r="J60" s="46" t="e">
        <f t="shared" ca="1" si="25"/>
        <v>#REF!</v>
      </c>
      <c r="M60" s="41" t="s">
        <v>116</v>
      </c>
      <c r="N60" s="42"/>
      <c r="O60" s="63" t="str">
        <f t="shared" si="16"/>
        <v>no match</v>
      </c>
      <c r="R60" s="41" t="s">
        <v>116</v>
      </c>
      <c r="S60" s="59" t="s">
        <v>116</v>
      </c>
      <c r="T60" s="63" t="str">
        <f>IF(OR(IF(ISNA(VLOOKUP(R60,$S$4:$S$130,1,)),FALSE,TRUE),IF(ISNA(VLOOKUP(#REF!,$R$4:$R$130,1,)),FALSE,TRUE))=FALSE, "no match","")</f>
        <v/>
      </c>
      <c r="V60" s="43"/>
      <c r="W60" s="59" t="s">
        <v>89</v>
      </c>
      <c r="X60" s="63" t="str">
        <f t="shared" si="18"/>
        <v>no match</v>
      </c>
    </row>
    <row r="61" spans="2:24" x14ac:dyDescent="0.2">
      <c r="B61" s="137"/>
      <c r="C61" s="42" t="s">
        <v>70</v>
      </c>
      <c r="D61" s="46" t="e">
        <f t="shared" ca="1" si="20"/>
        <v>#REF!</v>
      </c>
      <c r="E61" s="46" t="e">
        <f t="shared" ca="1" si="21"/>
        <v>#REF!</v>
      </c>
      <c r="F61" s="46" t="e">
        <f t="shared" ca="1" si="22"/>
        <v>#REF!</v>
      </c>
      <c r="G61" s="46" t="e">
        <f t="shared" ca="1" si="19"/>
        <v>#REF!</v>
      </c>
      <c r="H61" s="46" t="e">
        <f t="shared" ca="1" si="23"/>
        <v>#REF!</v>
      </c>
      <c r="I61" s="46" t="e">
        <f t="shared" ca="1" si="24"/>
        <v>#REF!</v>
      </c>
      <c r="J61" s="46" t="e">
        <f t="shared" ca="1" si="25"/>
        <v>#REF!</v>
      </c>
      <c r="M61" s="41" t="s">
        <v>78</v>
      </c>
      <c r="N61" s="42"/>
      <c r="O61" s="63" t="str">
        <f t="shared" ref="O61:O92" si="26">IF(OR(IF(ISNA(VLOOKUP(M61,$N$4:$N$130,1,)),FALSE,TRUE),IF(ISNA(VLOOKUP(N61,$M$4:$M$130,1,)),FALSE,TRUE))=FALSE, "no match","")</f>
        <v>no match</v>
      </c>
      <c r="R61" s="41" t="s">
        <v>78</v>
      </c>
      <c r="S61" s="59" t="s">
        <v>78</v>
      </c>
      <c r="T61" s="63" t="str">
        <f>IF(OR(IF(ISNA(VLOOKUP(R61,$S$4:$S$130,1,)),FALSE,TRUE),IF(ISNA(VLOOKUP(#REF!,$R$4:$R$130,1,)),FALSE,TRUE))=FALSE, "no match","")</f>
        <v/>
      </c>
      <c r="V61" s="43"/>
      <c r="W61" s="59" t="s">
        <v>151</v>
      </c>
      <c r="X61" s="63" t="str">
        <f t="shared" ref="X61:X77" si="27">IF(OR(IF(ISNA(VLOOKUP(V61,$W$4:$W$77,1,)),FALSE,TRUE),IF(ISNA(VLOOKUP(W61,$V$4:$V$77,1,)),FALSE,TRUE))=FALSE, "no match","")</f>
        <v>no match</v>
      </c>
    </row>
    <row r="62" spans="2:24" x14ac:dyDescent="0.2">
      <c r="B62" s="137"/>
      <c r="C62" s="42" t="s">
        <v>71</v>
      </c>
      <c r="D62" s="46" t="e">
        <f t="shared" ca="1" si="20"/>
        <v>#REF!</v>
      </c>
      <c r="E62" s="46" t="e">
        <f t="shared" ca="1" si="21"/>
        <v>#REF!</v>
      </c>
      <c r="F62" s="46" t="e">
        <f t="shared" ca="1" si="22"/>
        <v>#REF!</v>
      </c>
      <c r="G62" s="46" t="e">
        <f t="shared" ca="1" si="19"/>
        <v>#REF!</v>
      </c>
      <c r="H62" s="46" t="e">
        <f t="shared" ca="1" si="23"/>
        <v>#REF!</v>
      </c>
      <c r="I62" s="46" t="e">
        <f t="shared" ca="1" si="24"/>
        <v>#REF!</v>
      </c>
      <c r="J62" s="46" t="e">
        <f t="shared" ca="1" si="25"/>
        <v>#REF!</v>
      </c>
      <c r="M62" s="41" t="s">
        <v>79</v>
      </c>
      <c r="N62" s="42"/>
      <c r="O62" s="63" t="str">
        <f t="shared" si="26"/>
        <v>no match</v>
      </c>
      <c r="R62" s="41" t="s">
        <v>79</v>
      </c>
      <c r="S62" s="59" t="s">
        <v>79</v>
      </c>
      <c r="T62" s="63" t="str">
        <f>IF(OR(IF(ISNA(VLOOKUP(R62,$S$4:$S$130,1,)),FALSE,TRUE),IF(ISNA(VLOOKUP(#REF!,$R$4:$R$130,1,)),FALSE,TRUE))=FALSE, "no match","")</f>
        <v/>
      </c>
      <c r="V62" s="43"/>
      <c r="W62" s="59" t="s">
        <v>37</v>
      </c>
      <c r="X62" s="63" t="str">
        <f t="shared" si="27"/>
        <v>no match</v>
      </c>
    </row>
    <row r="63" spans="2:24" x14ac:dyDescent="0.2">
      <c r="B63" s="137"/>
      <c r="C63" s="42" t="s">
        <v>91</v>
      </c>
      <c r="D63" s="46" t="e">
        <f t="shared" ca="1" si="20"/>
        <v>#REF!</v>
      </c>
      <c r="E63" s="46" t="e">
        <f t="shared" ca="1" si="21"/>
        <v>#REF!</v>
      </c>
      <c r="F63" s="46" t="e">
        <f t="shared" ca="1" si="22"/>
        <v>#REF!</v>
      </c>
      <c r="G63" s="46" t="e">
        <f t="shared" ca="1" si="19"/>
        <v>#REF!</v>
      </c>
      <c r="H63" s="46" t="e">
        <f t="shared" ca="1" si="23"/>
        <v>#REF!</v>
      </c>
      <c r="I63" s="46" t="e">
        <f t="shared" ca="1" si="24"/>
        <v>#REF!</v>
      </c>
      <c r="J63" s="46" t="e">
        <f t="shared" ca="1" si="25"/>
        <v>#REF!</v>
      </c>
      <c r="M63" s="41" t="s">
        <v>82</v>
      </c>
      <c r="N63" s="42"/>
      <c r="O63" s="63" t="str">
        <f t="shared" si="26"/>
        <v>no match</v>
      </c>
      <c r="R63" s="41" t="s">
        <v>82</v>
      </c>
      <c r="S63" s="59" t="s">
        <v>82</v>
      </c>
      <c r="T63" s="63" t="str">
        <f>IF(OR(IF(ISNA(VLOOKUP(R63,$S$4:$S$130,1,)),FALSE,TRUE),IF(ISNA(VLOOKUP(#REF!,$R$4:$R$130,1,)),FALSE,TRUE))=FALSE, "no match","")</f>
        <v/>
      </c>
      <c r="V63" s="43"/>
      <c r="W63" s="59" t="s">
        <v>150</v>
      </c>
      <c r="X63" s="63" t="str">
        <f t="shared" si="27"/>
        <v>no match</v>
      </c>
    </row>
    <row r="64" spans="2:24" x14ac:dyDescent="0.2">
      <c r="B64" s="137"/>
      <c r="C64" s="42" t="s">
        <v>74</v>
      </c>
      <c r="D64" s="46" t="e">
        <f t="shared" ca="1" si="20"/>
        <v>#REF!</v>
      </c>
      <c r="E64" s="46" t="e">
        <f t="shared" ca="1" si="21"/>
        <v>#REF!</v>
      </c>
      <c r="F64" s="46" t="e">
        <f t="shared" ca="1" si="22"/>
        <v>#REF!</v>
      </c>
      <c r="G64" s="46" t="e">
        <f t="shared" ca="1" si="19"/>
        <v>#REF!</v>
      </c>
      <c r="H64" s="46" t="e">
        <f t="shared" ca="1" si="23"/>
        <v>#REF!</v>
      </c>
      <c r="I64" s="46" t="e">
        <f t="shared" ca="1" si="24"/>
        <v>#REF!</v>
      </c>
      <c r="J64" s="46" t="e">
        <f t="shared" ca="1" si="25"/>
        <v>#REF!</v>
      </c>
      <c r="M64" s="41" t="s">
        <v>80</v>
      </c>
      <c r="N64" s="42"/>
      <c r="O64" s="63" t="str">
        <f t="shared" si="26"/>
        <v>no match</v>
      </c>
      <c r="R64" s="41" t="s">
        <v>80</v>
      </c>
      <c r="S64" s="59" t="s">
        <v>80</v>
      </c>
      <c r="T64" s="63" t="str">
        <f>IF(OR(IF(ISNA(VLOOKUP(R64,$S$4:$S$130,1,)),FALSE,TRUE),IF(ISNA(VLOOKUP(#REF!,$R$4:$R$130,1,)),FALSE,TRUE))=FALSE, "no match","")</f>
        <v/>
      </c>
      <c r="V64" s="43"/>
      <c r="W64" s="59" t="s">
        <v>117</v>
      </c>
      <c r="X64" s="63" t="str">
        <f t="shared" si="27"/>
        <v>no match</v>
      </c>
    </row>
    <row r="65" spans="2:24" ht="25.5" x14ac:dyDescent="0.2">
      <c r="B65" s="48" t="s">
        <v>142</v>
      </c>
      <c r="C65" s="41" t="s">
        <v>9</v>
      </c>
      <c r="D65" s="45" t="e">
        <f t="shared" ca="1" si="20"/>
        <v>#REF!</v>
      </c>
      <c r="E65" s="45" t="e">
        <f t="shared" ca="1" si="21"/>
        <v>#REF!</v>
      </c>
      <c r="F65" s="45" t="e">
        <f t="shared" ca="1" si="22"/>
        <v>#REF!</v>
      </c>
      <c r="G65" s="45" t="e">
        <f t="shared" ca="1" si="19"/>
        <v>#REF!</v>
      </c>
      <c r="H65" s="45" t="e">
        <f t="shared" ca="1" si="23"/>
        <v>#REF!</v>
      </c>
      <c r="I65" s="45" t="e">
        <f t="shared" ca="1" si="24"/>
        <v>#REF!</v>
      </c>
      <c r="J65" s="45" t="e">
        <f t="shared" ca="1" si="25"/>
        <v>#REF!</v>
      </c>
      <c r="M65" s="41" t="s">
        <v>81</v>
      </c>
      <c r="N65" s="42"/>
      <c r="O65" s="63" t="str">
        <f t="shared" si="26"/>
        <v>no match</v>
      </c>
      <c r="R65" s="41" t="s">
        <v>81</v>
      </c>
      <c r="S65" s="59" t="s">
        <v>83</v>
      </c>
      <c r="T65" s="63" t="str">
        <f>IF(OR(IF(ISNA(VLOOKUP(R65,$S$4:$S$130,1,)),FALSE,TRUE),IF(ISNA(VLOOKUP(#REF!,$R$4:$R$130,1,)),FALSE,TRUE))=FALSE, "no match","")</f>
        <v/>
      </c>
      <c r="V65" s="43"/>
      <c r="W65" s="59" t="s">
        <v>39</v>
      </c>
      <c r="X65" s="63" t="str">
        <f t="shared" si="27"/>
        <v>no match</v>
      </c>
    </row>
    <row r="66" spans="2:24" x14ac:dyDescent="0.2">
      <c r="B66" s="137" t="s">
        <v>143</v>
      </c>
      <c r="C66" s="42" t="s">
        <v>75</v>
      </c>
      <c r="D66" s="46" t="e">
        <f t="shared" ca="1" si="20"/>
        <v>#REF!</v>
      </c>
      <c r="E66" s="46" t="e">
        <f t="shared" ca="1" si="21"/>
        <v>#REF!</v>
      </c>
      <c r="F66" s="46" t="e">
        <f t="shared" ca="1" si="22"/>
        <v>#REF!</v>
      </c>
      <c r="G66" s="46" t="e">
        <f t="shared" ca="1" si="19"/>
        <v>#REF!</v>
      </c>
      <c r="H66" s="46" t="e">
        <f t="shared" ca="1" si="23"/>
        <v>#REF!</v>
      </c>
      <c r="I66" s="46" t="e">
        <f t="shared" ca="1" si="24"/>
        <v>#REF!</v>
      </c>
      <c r="J66" s="46" t="e">
        <f t="shared" ca="1" si="25"/>
        <v>#REF!</v>
      </c>
      <c r="M66" s="41" t="s">
        <v>108</v>
      </c>
      <c r="N66" s="42"/>
      <c r="O66" s="63" t="str">
        <f t="shared" si="26"/>
        <v>no match</v>
      </c>
      <c r="R66" s="41" t="s">
        <v>108</v>
      </c>
      <c r="S66" s="59" t="s">
        <v>115</v>
      </c>
      <c r="T66" s="63" t="str">
        <f>IF(OR(IF(ISNA(VLOOKUP(R66,$S$4:$S$130,1,)),FALSE,TRUE),IF(ISNA(VLOOKUP(#REF!,$R$4:$R$130,1,)),FALSE,TRUE))=FALSE, "no match","")</f>
        <v/>
      </c>
      <c r="V66" s="43"/>
      <c r="W66" s="59" t="s">
        <v>38</v>
      </c>
      <c r="X66" s="63" t="str">
        <f t="shared" si="27"/>
        <v>no match</v>
      </c>
    </row>
    <row r="67" spans="2:24" x14ac:dyDescent="0.2">
      <c r="B67" s="137"/>
      <c r="C67" s="42" t="s">
        <v>76</v>
      </c>
      <c r="D67" s="46" t="e">
        <f t="shared" ca="1" si="20"/>
        <v>#REF!</v>
      </c>
      <c r="E67" s="46" t="e">
        <f t="shared" ca="1" si="21"/>
        <v>#REF!</v>
      </c>
      <c r="F67" s="46" t="e">
        <f t="shared" ca="1" si="22"/>
        <v>#REF!</v>
      </c>
      <c r="G67" s="46"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46" t="e">
        <f t="shared" ca="1" si="23"/>
        <v>#REF!</v>
      </c>
      <c r="I67" s="46" t="e">
        <f t="shared" ca="1" si="24"/>
        <v>#REF!</v>
      </c>
      <c r="J67" s="46" t="e">
        <f t="shared" ca="1" si="25"/>
        <v>#REF!</v>
      </c>
      <c r="M67" s="41" t="s">
        <v>109</v>
      </c>
      <c r="N67" s="42"/>
      <c r="O67" s="63" t="str">
        <f t="shared" si="26"/>
        <v>no match</v>
      </c>
      <c r="R67" s="41" t="s">
        <v>109</v>
      </c>
      <c r="S67" s="59" t="s">
        <v>144</v>
      </c>
      <c r="T67" s="63" t="str">
        <f t="shared" ref="T67:T80" si="29">IF(OR(IF(ISNA(VLOOKUP(R67,$S$4:$S$130,1,)),FALSE,TRUE),IF(ISNA(VLOOKUP(S57,$R$4:$R$130,1,)),FALSE,TRUE))=FALSE, "no match","")</f>
        <v/>
      </c>
      <c r="V67" s="43"/>
      <c r="W67" s="59" t="s">
        <v>89</v>
      </c>
      <c r="X67" s="63" t="str">
        <f t="shared" si="27"/>
        <v>no match</v>
      </c>
    </row>
    <row r="68" spans="2:24" x14ac:dyDescent="0.2">
      <c r="B68" s="137"/>
      <c r="C68" s="42" t="s">
        <v>77</v>
      </c>
      <c r="D68" s="46" t="e">
        <f t="shared" ca="1" si="20"/>
        <v>#REF!</v>
      </c>
      <c r="E68" s="46" t="e">
        <f t="shared" ca="1" si="21"/>
        <v>#REF!</v>
      </c>
      <c r="F68" s="46" t="e">
        <f t="shared" ca="1" si="22"/>
        <v>#REF!</v>
      </c>
      <c r="G68" s="46" t="e">
        <f t="shared" ca="1" si="28"/>
        <v>#REF!</v>
      </c>
      <c r="H68" s="46" t="e">
        <f t="shared" ca="1" si="23"/>
        <v>#REF!</v>
      </c>
      <c r="I68" s="46" t="e">
        <f t="shared" ca="1" si="24"/>
        <v>#REF!</v>
      </c>
      <c r="J68" s="46" t="e">
        <f t="shared" ca="1" si="25"/>
        <v>#REF!</v>
      </c>
      <c r="M68" s="41" t="s">
        <v>83</v>
      </c>
      <c r="N68" s="42"/>
      <c r="O68" s="63" t="str">
        <f t="shared" si="26"/>
        <v>no match</v>
      </c>
      <c r="R68" s="41" t="s">
        <v>83</v>
      </c>
      <c r="S68" s="59" t="s">
        <v>5</v>
      </c>
      <c r="T68" s="63" t="str">
        <f t="shared" si="29"/>
        <v/>
      </c>
      <c r="V68" s="43"/>
      <c r="W68" s="59" t="s">
        <v>151</v>
      </c>
      <c r="X68" s="63" t="str">
        <f t="shared" si="27"/>
        <v>no match</v>
      </c>
    </row>
    <row r="69" spans="2:24" x14ac:dyDescent="0.2">
      <c r="B69" s="137"/>
      <c r="C69" s="42" t="s">
        <v>116</v>
      </c>
      <c r="D69" s="46" t="e">
        <f t="shared" ca="1" si="20"/>
        <v>#REF!</v>
      </c>
      <c r="E69" s="46" t="e">
        <f t="shared" ca="1" si="21"/>
        <v>#REF!</v>
      </c>
      <c r="F69" s="46" t="e">
        <f t="shared" ca="1" si="22"/>
        <v>#REF!</v>
      </c>
      <c r="G69" s="46" t="e">
        <f t="shared" ca="1" si="28"/>
        <v>#REF!</v>
      </c>
      <c r="H69" s="46" t="e">
        <f t="shared" ca="1" si="23"/>
        <v>#REF!</v>
      </c>
      <c r="I69" s="46" t="e">
        <f t="shared" ca="1" si="24"/>
        <v>#REF!</v>
      </c>
      <c r="J69" s="46" t="e">
        <f t="shared" ca="1" si="25"/>
        <v>#REF!</v>
      </c>
      <c r="M69" s="41" t="s">
        <v>115</v>
      </c>
      <c r="N69" s="42"/>
      <c r="O69" s="63" t="str">
        <f t="shared" si="26"/>
        <v>no match</v>
      </c>
      <c r="R69" s="41" t="s">
        <v>115</v>
      </c>
      <c r="S69" s="59" t="s">
        <v>6</v>
      </c>
      <c r="T69" s="63" t="str">
        <f t="shared" si="29"/>
        <v/>
      </c>
      <c r="V69" s="43" t="s">
        <v>2</v>
      </c>
      <c r="W69" s="59" t="s">
        <v>2</v>
      </c>
      <c r="X69" s="63" t="str">
        <f t="shared" si="27"/>
        <v/>
      </c>
    </row>
    <row r="70" spans="2:24" x14ac:dyDescent="0.2">
      <c r="B70" s="137"/>
      <c r="C70" s="42" t="s">
        <v>78</v>
      </c>
      <c r="D70" s="46" t="e">
        <f t="shared" ca="1" si="20"/>
        <v>#REF!</v>
      </c>
      <c r="E70" s="46" t="e">
        <f t="shared" ca="1" si="21"/>
        <v>#REF!</v>
      </c>
      <c r="F70" s="46" t="e">
        <f t="shared" ca="1" si="22"/>
        <v>#REF!</v>
      </c>
      <c r="G70" s="46" t="e">
        <f t="shared" ca="1" si="28"/>
        <v>#REF!</v>
      </c>
      <c r="H70" s="46" t="e">
        <f t="shared" ca="1" si="23"/>
        <v>#REF!</v>
      </c>
      <c r="I70" s="46" t="e">
        <f t="shared" ca="1" si="24"/>
        <v>#REF!</v>
      </c>
      <c r="J70" s="46" t="e">
        <f t="shared" ca="1" si="25"/>
        <v>#REF!</v>
      </c>
      <c r="M70" s="41" t="s">
        <v>6</v>
      </c>
      <c r="N70" s="42"/>
      <c r="O70" s="63" t="str">
        <f t="shared" si="26"/>
        <v>no match</v>
      </c>
      <c r="R70" s="41" t="s">
        <v>6</v>
      </c>
      <c r="S70" s="59" t="s">
        <v>10</v>
      </c>
      <c r="T70" s="63" t="str">
        <f t="shared" si="29"/>
        <v/>
      </c>
      <c r="V70" s="43" t="s">
        <v>3</v>
      </c>
      <c r="W70" s="59" t="s">
        <v>3</v>
      </c>
      <c r="X70" s="63" t="str">
        <f t="shared" si="27"/>
        <v/>
      </c>
    </row>
    <row r="71" spans="2:24" x14ac:dyDescent="0.2">
      <c r="B71" s="137"/>
      <c r="C71" s="42" t="s">
        <v>79</v>
      </c>
      <c r="D71" s="46" t="e">
        <f t="shared" ca="1" si="20"/>
        <v>#REF!</v>
      </c>
      <c r="E71" s="46" t="e">
        <f t="shared" ca="1" si="21"/>
        <v>#REF!</v>
      </c>
      <c r="F71" s="46" t="e">
        <f t="shared" ca="1" si="22"/>
        <v>#REF!</v>
      </c>
      <c r="G71" s="46" t="e">
        <f t="shared" ca="1" si="28"/>
        <v>#REF!</v>
      </c>
      <c r="H71" s="46" t="e">
        <f t="shared" ca="1" si="23"/>
        <v>#REF!</v>
      </c>
      <c r="I71" s="46" t="e">
        <f t="shared" ca="1" si="24"/>
        <v>#REF!</v>
      </c>
      <c r="J71" s="46" t="e">
        <f t="shared" ca="1" si="25"/>
        <v>#REF!</v>
      </c>
      <c r="M71" s="41" t="s">
        <v>144</v>
      </c>
      <c r="N71" s="42"/>
      <c r="O71" s="63" t="str">
        <f t="shared" si="26"/>
        <v>no match</v>
      </c>
      <c r="R71" s="41" t="s">
        <v>144</v>
      </c>
      <c r="S71" s="59"/>
      <c r="T71" s="63" t="str">
        <f t="shared" si="29"/>
        <v/>
      </c>
      <c r="V71" s="43" t="s">
        <v>4</v>
      </c>
      <c r="W71" s="59" t="s">
        <v>4</v>
      </c>
      <c r="X71" s="63" t="str">
        <f t="shared" si="27"/>
        <v/>
      </c>
    </row>
    <row r="72" spans="2:24" x14ac:dyDescent="0.2">
      <c r="B72" s="137"/>
      <c r="C72" s="42" t="s">
        <v>82</v>
      </c>
      <c r="D72" s="46" t="e">
        <f t="shared" ca="1" si="20"/>
        <v>#REF!</v>
      </c>
      <c r="E72" s="46" t="e">
        <f t="shared" ca="1" si="21"/>
        <v>#REF!</v>
      </c>
      <c r="F72" s="46" t="e">
        <f t="shared" ca="1" si="22"/>
        <v>#REF!</v>
      </c>
      <c r="G72" s="46" t="e">
        <f t="shared" ca="1" si="28"/>
        <v>#REF!</v>
      </c>
      <c r="H72" s="46" t="e">
        <f t="shared" ca="1" si="23"/>
        <v>#REF!</v>
      </c>
      <c r="I72" s="46" t="e">
        <f t="shared" ca="1" si="24"/>
        <v>#REF!</v>
      </c>
      <c r="J72" s="46" t="e">
        <f t="shared" ca="1" si="25"/>
        <v>#REF!</v>
      </c>
      <c r="M72" s="41" t="s">
        <v>5</v>
      </c>
      <c r="N72" s="42"/>
      <c r="O72" s="63" t="str">
        <f t="shared" si="26"/>
        <v>no match</v>
      </c>
      <c r="R72" s="41" t="s">
        <v>5</v>
      </c>
      <c r="S72" s="59"/>
      <c r="T72" s="63" t="str">
        <f t="shared" si="29"/>
        <v/>
      </c>
      <c r="V72" s="43"/>
      <c r="W72" s="59" t="s">
        <v>8</v>
      </c>
      <c r="X72" s="63" t="str">
        <f t="shared" si="27"/>
        <v>no match</v>
      </c>
    </row>
    <row r="73" spans="2:24" x14ac:dyDescent="0.2">
      <c r="B73" s="137"/>
      <c r="C73" s="42" t="s">
        <v>80</v>
      </c>
      <c r="D73" s="46" t="e">
        <f t="shared" ca="1" si="20"/>
        <v>#REF!</v>
      </c>
      <c r="E73" s="46" t="e">
        <f t="shared" ca="1" si="21"/>
        <v>#REF!</v>
      </c>
      <c r="F73" s="46" t="e">
        <f t="shared" ca="1" si="22"/>
        <v>#REF!</v>
      </c>
      <c r="G73" s="46" t="e">
        <f t="shared" ca="1" si="28"/>
        <v>#REF!</v>
      </c>
      <c r="H73" s="46" t="e">
        <f t="shared" ca="1" si="23"/>
        <v>#REF!</v>
      </c>
      <c r="I73" s="46" t="e">
        <f t="shared" ca="1" si="24"/>
        <v>#REF!</v>
      </c>
      <c r="J73" s="46" t="e">
        <f t="shared" ca="1" si="25"/>
        <v>#REF!</v>
      </c>
      <c r="M73" s="41" t="s">
        <v>147</v>
      </c>
      <c r="N73" s="42"/>
      <c r="O73" s="63" t="str">
        <f t="shared" si="26"/>
        <v>no match</v>
      </c>
      <c r="R73" s="41" t="s">
        <v>147</v>
      </c>
      <c r="S73" s="59"/>
      <c r="T73" s="63" t="str">
        <f t="shared" si="29"/>
        <v/>
      </c>
      <c r="V73" s="43"/>
      <c r="W73" s="59" t="s">
        <v>155</v>
      </c>
      <c r="X73" s="63" t="str">
        <f t="shared" si="27"/>
        <v>no match</v>
      </c>
    </row>
    <row r="74" spans="2:24" x14ac:dyDescent="0.2">
      <c r="B74" s="137"/>
      <c r="C74" s="42" t="s">
        <v>81</v>
      </c>
      <c r="D74" s="46" t="e">
        <f t="shared" ca="1" si="20"/>
        <v>#REF!</v>
      </c>
      <c r="E74" s="46" t="e">
        <f t="shared" ca="1" si="21"/>
        <v>#REF!</v>
      </c>
      <c r="F74" s="46" t="e">
        <f t="shared" ca="1" si="22"/>
        <v>#REF!</v>
      </c>
      <c r="G74" s="46" t="e">
        <f t="shared" ca="1" si="28"/>
        <v>#REF!</v>
      </c>
      <c r="H74" s="46" t="e">
        <f t="shared" ca="1" si="23"/>
        <v>#REF!</v>
      </c>
      <c r="I74" s="46" t="e">
        <f t="shared" ca="1" si="24"/>
        <v>#REF!</v>
      </c>
      <c r="J74" s="46" t="e">
        <f t="shared" ca="1" si="25"/>
        <v>#REF!</v>
      </c>
      <c r="M74" s="41" t="s">
        <v>148</v>
      </c>
      <c r="N74" s="42"/>
      <c r="O74" s="63" t="str">
        <f t="shared" si="26"/>
        <v>no match</v>
      </c>
      <c r="R74" s="41" t="s">
        <v>148</v>
      </c>
      <c r="S74" s="59"/>
      <c r="T74" s="63" t="str">
        <f t="shared" si="29"/>
        <v/>
      </c>
      <c r="V74" s="43"/>
      <c r="W74" s="59" t="s">
        <v>7</v>
      </c>
      <c r="X74" s="63" t="str">
        <f t="shared" si="27"/>
        <v>no match</v>
      </c>
    </row>
    <row r="75" spans="2:24" x14ac:dyDescent="0.2">
      <c r="B75" s="137"/>
      <c r="C75" s="42" t="s">
        <v>108</v>
      </c>
      <c r="D75" s="46" t="e">
        <f t="shared" ca="1" si="20"/>
        <v>#REF!</v>
      </c>
      <c r="E75" s="46" t="e">
        <f t="shared" ca="1" si="21"/>
        <v>#REF!</v>
      </c>
      <c r="F75" s="46" t="e">
        <f t="shared" ca="1" si="22"/>
        <v>#REF!</v>
      </c>
      <c r="G75" s="46" t="e">
        <f t="shared" ca="1" si="28"/>
        <v>#REF!</v>
      </c>
      <c r="H75" s="46" t="e">
        <f t="shared" ca="1" si="23"/>
        <v>#REF!</v>
      </c>
      <c r="I75" s="46" t="e">
        <f t="shared" ca="1" si="24"/>
        <v>#REF!</v>
      </c>
      <c r="J75" s="46" t="e">
        <f t="shared" ca="1" si="25"/>
        <v>#REF!</v>
      </c>
      <c r="M75" s="41" t="s">
        <v>84</v>
      </c>
      <c r="N75" s="42"/>
      <c r="O75" s="63" t="str">
        <f t="shared" si="26"/>
        <v>no match</v>
      </c>
      <c r="R75" s="41" t="s">
        <v>84</v>
      </c>
      <c r="S75" s="59"/>
      <c r="T75" s="63" t="str">
        <f t="shared" si="29"/>
        <v/>
      </c>
      <c r="V75" s="43"/>
      <c r="W75" s="59" t="s">
        <v>156</v>
      </c>
      <c r="X75" s="63" t="str">
        <f t="shared" si="27"/>
        <v>no match</v>
      </c>
    </row>
    <row r="76" spans="2:24" x14ac:dyDescent="0.2">
      <c r="B76" s="137"/>
      <c r="C76" s="42" t="s">
        <v>109</v>
      </c>
      <c r="D76" s="46" t="e">
        <f t="shared" ca="1" si="20"/>
        <v>#REF!</v>
      </c>
      <c r="E76" s="46" t="e">
        <f t="shared" ca="1" si="21"/>
        <v>#REF!</v>
      </c>
      <c r="F76" s="46" t="e">
        <f t="shared" ca="1" si="22"/>
        <v>#REF!</v>
      </c>
      <c r="G76" s="46" t="e">
        <f t="shared" ca="1" si="28"/>
        <v>#REF!</v>
      </c>
      <c r="H76" s="46" t="e">
        <f t="shared" ca="1" si="23"/>
        <v>#REF!</v>
      </c>
      <c r="I76" s="46" t="e">
        <f t="shared" ca="1" si="24"/>
        <v>#REF!</v>
      </c>
      <c r="J76" s="46" t="e">
        <f t="shared" ca="1" si="25"/>
        <v>#REF!</v>
      </c>
      <c r="M76" s="41" t="s">
        <v>29</v>
      </c>
      <c r="N76" s="42"/>
      <c r="O76" s="63" t="str">
        <f t="shared" si="26"/>
        <v>no match</v>
      </c>
      <c r="R76" s="41" t="s">
        <v>29</v>
      </c>
      <c r="S76" s="59"/>
      <c r="T76" s="63" t="str">
        <f t="shared" si="29"/>
        <v/>
      </c>
      <c r="V76" s="43" t="s">
        <v>112</v>
      </c>
      <c r="X76" s="63" t="str">
        <f t="shared" si="27"/>
        <v>no match</v>
      </c>
    </row>
    <row r="77" spans="2:24" x14ac:dyDescent="0.2">
      <c r="B77" s="137"/>
      <c r="C77" s="42" t="s">
        <v>83</v>
      </c>
      <c r="D77" s="46" t="e">
        <f t="shared" ca="1" si="20"/>
        <v>#REF!</v>
      </c>
      <c r="E77" s="46" t="e">
        <f t="shared" ca="1" si="21"/>
        <v>#REF!</v>
      </c>
      <c r="F77" s="46" t="e">
        <f t="shared" ca="1" si="22"/>
        <v>#REF!</v>
      </c>
      <c r="G77" s="46" t="e">
        <f t="shared" ca="1" si="28"/>
        <v>#REF!</v>
      </c>
      <c r="H77" s="46" t="e">
        <f t="shared" ca="1" si="23"/>
        <v>#REF!</v>
      </c>
      <c r="I77" s="46" t="e">
        <f t="shared" ca="1" si="24"/>
        <v>#REF!</v>
      </c>
      <c r="J77" s="46" t="e">
        <f t="shared" ca="1" si="25"/>
        <v>#REF!</v>
      </c>
      <c r="M77" s="41" t="s">
        <v>30</v>
      </c>
      <c r="N77" s="42"/>
      <c r="O77" s="63" t="str">
        <f t="shared" si="26"/>
        <v>no match</v>
      </c>
      <c r="R77" s="41" t="s">
        <v>30</v>
      </c>
      <c r="S77" s="59"/>
      <c r="T77" s="63" t="str">
        <f t="shared" si="29"/>
        <v/>
      </c>
      <c r="V77" s="43" t="s">
        <v>113</v>
      </c>
      <c r="X77" s="63" t="str">
        <f t="shared" si="27"/>
        <v>no match</v>
      </c>
    </row>
    <row r="78" spans="2:24" x14ac:dyDescent="0.2">
      <c r="B78" s="137"/>
      <c r="C78" s="42" t="s">
        <v>115</v>
      </c>
      <c r="D78" s="46" t="e">
        <f t="shared" ca="1" si="20"/>
        <v>#REF!</v>
      </c>
      <c r="E78" s="46" t="e">
        <f t="shared" ca="1" si="21"/>
        <v>#REF!</v>
      </c>
      <c r="F78" s="46" t="e">
        <f t="shared" ca="1" si="22"/>
        <v>#REF!</v>
      </c>
      <c r="G78" s="46" t="e">
        <f t="shared" ca="1" si="28"/>
        <v>#REF!</v>
      </c>
      <c r="H78" s="46" t="e">
        <f t="shared" ca="1" si="23"/>
        <v>#REF!</v>
      </c>
      <c r="I78" s="46" t="e">
        <f t="shared" ca="1" si="24"/>
        <v>#REF!</v>
      </c>
      <c r="J78" s="46" t="e">
        <f t="shared" ca="1" si="25"/>
        <v>#REF!</v>
      </c>
      <c r="M78" s="41" t="s">
        <v>33</v>
      </c>
      <c r="N78" s="42"/>
      <c r="O78" s="63" t="str">
        <f t="shared" si="26"/>
        <v>no match</v>
      </c>
      <c r="R78" s="41" t="s">
        <v>33</v>
      </c>
      <c r="S78" s="59"/>
      <c r="T78" s="63" t="str">
        <f t="shared" si="29"/>
        <v/>
      </c>
    </row>
    <row r="79" spans="2:24" x14ac:dyDescent="0.2">
      <c r="B79" s="137"/>
      <c r="C79" s="42" t="s">
        <v>6</v>
      </c>
      <c r="D79" s="46" t="e">
        <f t="shared" ca="1" si="20"/>
        <v>#REF!</v>
      </c>
      <c r="E79" s="46" t="e">
        <f t="shared" ca="1" si="21"/>
        <v>#REF!</v>
      </c>
      <c r="F79" s="46" t="e">
        <f t="shared" ca="1" si="22"/>
        <v>#REF!</v>
      </c>
      <c r="G79" s="46" t="e">
        <f t="shared" ca="1" si="28"/>
        <v>#REF!</v>
      </c>
      <c r="H79" s="46" t="e">
        <f t="shared" ca="1" si="23"/>
        <v>#REF!</v>
      </c>
      <c r="I79" s="46" t="e">
        <f t="shared" ca="1" si="24"/>
        <v>#REF!</v>
      </c>
      <c r="J79" s="46" t="e">
        <f t="shared" ca="1" si="25"/>
        <v>#REF!</v>
      </c>
      <c r="M79" s="41" t="s">
        <v>34</v>
      </c>
      <c r="N79" s="42"/>
      <c r="O79" s="63" t="str">
        <f t="shared" si="26"/>
        <v>no match</v>
      </c>
      <c r="R79" s="41" t="s">
        <v>34</v>
      </c>
      <c r="S79" s="59"/>
      <c r="T79" s="63" t="str">
        <f t="shared" si="29"/>
        <v/>
      </c>
    </row>
    <row r="80" spans="2:24" x14ac:dyDescent="0.2">
      <c r="B80" s="140" t="s">
        <v>145</v>
      </c>
      <c r="C80" s="41" t="s">
        <v>75</v>
      </c>
      <c r="D80" s="45" t="e">
        <f t="shared" ca="1" si="20"/>
        <v>#REF!</v>
      </c>
      <c r="E80" s="45" t="e">
        <f t="shared" ca="1" si="21"/>
        <v>#REF!</v>
      </c>
      <c r="F80" s="45" t="e">
        <f t="shared" ca="1" si="22"/>
        <v>#REF!</v>
      </c>
      <c r="G80" s="45" t="e">
        <f t="shared" ca="1" si="28"/>
        <v>#REF!</v>
      </c>
      <c r="H80" s="45" t="e">
        <f t="shared" ca="1" si="23"/>
        <v>#REF!</v>
      </c>
      <c r="I80" s="45" t="e">
        <f t="shared" ca="1" si="24"/>
        <v>#REF!</v>
      </c>
      <c r="J80" s="45" t="e">
        <f t="shared" ca="1" si="25"/>
        <v>#REF!</v>
      </c>
      <c r="M80" s="41" t="s">
        <v>28</v>
      </c>
      <c r="N80" s="42"/>
      <c r="O80" s="63" t="str">
        <f t="shared" si="26"/>
        <v>no match</v>
      </c>
      <c r="R80" s="41" t="s">
        <v>28</v>
      </c>
      <c r="S80" s="59"/>
      <c r="T80" s="63" t="str">
        <f t="shared" si="29"/>
        <v>no match</v>
      </c>
    </row>
    <row r="81" spans="2:20" x14ac:dyDescent="0.2">
      <c r="B81" s="140"/>
      <c r="C81" s="41" t="s">
        <v>76</v>
      </c>
      <c r="D81" s="45" t="e">
        <f t="shared" ca="1" si="20"/>
        <v>#REF!</v>
      </c>
      <c r="E81" s="45" t="e">
        <f t="shared" ca="1" si="21"/>
        <v>#REF!</v>
      </c>
      <c r="F81" s="45" t="e">
        <f t="shared" ca="1" si="22"/>
        <v>#REF!</v>
      </c>
      <c r="G81" s="45" t="e">
        <f t="shared" ca="1" si="28"/>
        <v>#REF!</v>
      </c>
      <c r="H81" s="45" t="e">
        <f t="shared" ca="1" si="23"/>
        <v>#REF!</v>
      </c>
      <c r="I81" s="45" t="e">
        <f t="shared" ca="1" si="24"/>
        <v>#REF!</v>
      </c>
      <c r="J81" s="45" t="e">
        <f t="shared" ca="1" si="25"/>
        <v>#REF!</v>
      </c>
      <c r="M81" s="41" t="s">
        <v>32</v>
      </c>
      <c r="N81" s="42"/>
      <c r="O81" s="63" t="str">
        <f t="shared" si="26"/>
        <v>no match</v>
      </c>
      <c r="R81" s="41" t="s">
        <v>32</v>
      </c>
      <c r="S81" s="59"/>
      <c r="T81" s="63" t="str">
        <f t="shared" ref="T81:T126" si="30">IF(OR(IF(ISNA(VLOOKUP(R81,$S$4:$S$130,1,)),FALSE,TRUE),IF(ISNA(VLOOKUP(S81,$R$4:$R$130,1,)),FALSE,TRUE))=FALSE, "no match","")</f>
        <v>no match</v>
      </c>
    </row>
    <row r="82" spans="2:20" x14ac:dyDescent="0.2">
      <c r="B82" s="140"/>
      <c r="C82" s="41" t="s">
        <v>77</v>
      </c>
      <c r="D82" s="45" t="e">
        <f t="shared" ca="1" si="20"/>
        <v>#REF!</v>
      </c>
      <c r="E82" s="45" t="e">
        <f t="shared" ca="1" si="21"/>
        <v>#REF!</v>
      </c>
      <c r="F82" s="45" t="e">
        <f t="shared" ca="1" si="22"/>
        <v>#REF!</v>
      </c>
      <c r="G82" s="45" t="e">
        <f t="shared" ca="1" si="28"/>
        <v>#REF!</v>
      </c>
      <c r="H82" s="45" t="e">
        <f t="shared" ca="1" si="23"/>
        <v>#REF!</v>
      </c>
      <c r="I82" s="45" t="e">
        <f t="shared" ca="1" si="24"/>
        <v>#REF!</v>
      </c>
      <c r="J82" s="45" t="e">
        <f t="shared" ca="1" si="25"/>
        <v>#REF!</v>
      </c>
      <c r="M82" s="41" t="s">
        <v>31</v>
      </c>
      <c r="N82" s="42"/>
      <c r="O82" s="63" t="str">
        <f t="shared" si="26"/>
        <v>no match</v>
      </c>
      <c r="R82" s="41" t="s">
        <v>31</v>
      </c>
      <c r="S82" s="59"/>
      <c r="T82" s="63" t="str">
        <f t="shared" si="30"/>
        <v>no match</v>
      </c>
    </row>
    <row r="83" spans="2:20" x14ac:dyDescent="0.2">
      <c r="B83" s="140"/>
      <c r="C83" s="41" t="s">
        <v>116</v>
      </c>
      <c r="D83" s="45" t="e">
        <f t="shared" ca="1" si="20"/>
        <v>#REF!</v>
      </c>
      <c r="E83" s="45" t="e">
        <f t="shared" ca="1" si="21"/>
        <v>#REF!</v>
      </c>
      <c r="F83" s="45" t="e">
        <f t="shared" ca="1" si="22"/>
        <v>#REF!</v>
      </c>
      <c r="G83" s="45" t="e">
        <f t="shared" ca="1" si="28"/>
        <v>#REF!</v>
      </c>
      <c r="H83" s="45" t="e">
        <f t="shared" ca="1" si="23"/>
        <v>#REF!</v>
      </c>
      <c r="I83" s="45" t="e">
        <f t="shared" ca="1" si="24"/>
        <v>#REF!</v>
      </c>
      <c r="J83" s="45" t="e">
        <f t="shared" ca="1" si="25"/>
        <v>#REF!</v>
      </c>
      <c r="M83" s="41" t="s">
        <v>35</v>
      </c>
      <c r="N83" s="42"/>
      <c r="O83" s="63" t="str">
        <f t="shared" si="26"/>
        <v>no match</v>
      </c>
      <c r="R83" s="41" t="s">
        <v>35</v>
      </c>
      <c r="S83" s="59"/>
      <c r="T83" s="63" t="str">
        <f t="shared" si="30"/>
        <v>no match</v>
      </c>
    </row>
    <row r="84" spans="2:20" x14ac:dyDescent="0.2">
      <c r="B84" s="140"/>
      <c r="C84" s="41" t="s">
        <v>78</v>
      </c>
      <c r="D84" s="45" t="e">
        <f t="shared" ca="1" si="20"/>
        <v>#REF!</v>
      </c>
      <c r="E84" s="45" t="e">
        <f t="shared" ca="1" si="21"/>
        <v>#REF!</v>
      </c>
      <c r="F84" s="45" t="e">
        <f t="shared" ca="1" si="22"/>
        <v>#REF!</v>
      </c>
      <c r="G84" s="45" t="e">
        <f t="shared" ca="1" si="28"/>
        <v>#REF!</v>
      </c>
      <c r="H84" s="45" t="e">
        <f t="shared" ca="1" si="23"/>
        <v>#REF!</v>
      </c>
      <c r="I84" s="45" t="e">
        <f t="shared" ca="1" si="24"/>
        <v>#REF!</v>
      </c>
      <c r="J84" s="45" t="e">
        <f t="shared" ca="1" si="25"/>
        <v>#REF!</v>
      </c>
      <c r="M84" s="41" t="s">
        <v>36</v>
      </c>
      <c r="N84" s="42"/>
      <c r="O84" s="63" t="str">
        <f t="shared" si="26"/>
        <v>no match</v>
      </c>
      <c r="R84" s="41" t="s">
        <v>36</v>
      </c>
      <c r="S84" s="59"/>
      <c r="T84" s="63" t="str">
        <f t="shared" si="30"/>
        <v>no match</v>
      </c>
    </row>
    <row r="85" spans="2:20" x14ac:dyDescent="0.2">
      <c r="B85" s="140"/>
      <c r="C85" s="41" t="s">
        <v>79</v>
      </c>
      <c r="D85" s="45"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45"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45"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45" t="e">
        <f t="shared" ca="1" si="28"/>
        <v>#REF!</v>
      </c>
      <c r="H85" s="45"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45"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45"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41" t="s">
        <v>37</v>
      </c>
      <c r="N85" s="42"/>
      <c r="O85" s="63" t="str">
        <f t="shared" si="26"/>
        <v>no match</v>
      </c>
      <c r="R85" s="41" t="s">
        <v>37</v>
      </c>
      <c r="S85" s="59"/>
      <c r="T85" s="63" t="str">
        <f t="shared" si="30"/>
        <v/>
      </c>
    </row>
    <row r="86" spans="2:20" x14ac:dyDescent="0.2">
      <c r="B86" s="140"/>
      <c r="C86" s="41" t="s">
        <v>82</v>
      </c>
      <c r="D86" s="45" t="e">
        <f t="shared" ca="1" si="31"/>
        <v>#REF!</v>
      </c>
      <c r="E86" s="45" t="e">
        <f t="shared" ca="1" si="32"/>
        <v>#REF!</v>
      </c>
      <c r="F86" s="45" t="e">
        <f t="shared" ca="1" si="33"/>
        <v>#REF!</v>
      </c>
      <c r="G86" s="45" t="e">
        <f t="shared" ca="1" si="28"/>
        <v>#REF!</v>
      </c>
      <c r="H86" s="45" t="e">
        <f t="shared" ca="1" si="34"/>
        <v>#REF!</v>
      </c>
      <c r="I86" s="45" t="e">
        <f t="shared" ca="1" si="35"/>
        <v>#REF!</v>
      </c>
      <c r="J86" s="45" t="e">
        <f t="shared" ca="1" si="36"/>
        <v>#REF!</v>
      </c>
      <c r="M86" s="41" t="s">
        <v>150</v>
      </c>
      <c r="N86" s="42"/>
      <c r="O86" s="63" t="str">
        <f t="shared" si="26"/>
        <v>no match</v>
      </c>
      <c r="R86" s="41" t="s">
        <v>150</v>
      </c>
      <c r="S86" s="59"/>
      <c r="T86" s="63" t="str">
        <f t="shared" si="30"/>
        <v/>
      </c>
    </row>
    <row r="87" spans="2:20" x14ac:dyDescent="0.2">
      <c r="B87" s="140"/>
      <c r="C87" s="41" t="s">
        <v>80</v>
      </c>
      <c r="D87" s="45" t="e">
        <f t="shared" ca="1" si="31"/>
        <v>#REF!</v>
      </c>
      <c r="E87" s="45" t="e">
        <f t="shared" ca="1" si="32"/>
        <v>#REF!</v>
      </c>
      <c r="F87" s="45" t="e">
        <f t="shared" ca="1" si="33"/>
        <v>#REF!</v>
      </c>
      <c r="G87" s="45" t="e">
        <f t="shared" ca="1" si="28"/>
        <v>#REF!</v>
      </c>
      <c r="H87" s="45" t="e">
        <f t="shared" ca="1" si="34"/>
        <v>#REF!</v>
      </c>
      <c r="I87" s="45" t="e">
        <f t="shared" ca="1" si="35"/>
        <v>#REF!</v>
      </c>
      <c r="J87" s="45" t="e">
        <f t="shared" ca="1" si="36"/>
        <v>#REF!</v>
      </c>
      <c r="M87" s="41" t="s">
        <v>117</v>
      </c>
      <c r="N87" s="42"/>
      <c r="O87" s="63" t="str">
        <f t="shared" si="26"/>
        <v>no match</v>
      </c>
      <c r="R87" s="41" t="s">
        <v>117</v>
      </c>
      <c r="S87" s="59"/>
      <c r="T87" s="63" t="str">
        <f t="shared" si="30"/>
        <v/>
      </c>
    </row>
    <row r="88" spans="2:20" x14ac:dyDescent="0.2">
      <c r="B88" s="140"/>
      <c r="C88" s="41" t="s">
        <v>83</v>
      </c>
      <c r="D88" s="45" t="e">
        <f t="shared" ca="1" si="31"/>
        <v>#REF!</v>
      </c>
      <c r="E88" s="45" t="e">
        <f t="shared" ca="1" si="32"/>
        <v>#REF!</v>
      </c>
      <c r="F88" s="45" t="e">
        <f t="shared" ca="1" si="33"/>
        <v>#REF!</v>
      </c>
      <c r="G88" s="45" t="e">
        <f t="shared" ca="1" si="28"/>
        <v>#REF!</v>
      </c>
      <c r="H88" s="45" t="e">
        <f t="shared" ca="1" si="34"/>
        <v>#REF!</v>
      </c>
      <c r="I88" s="45" t="e">
        <f t="shared" ca="1" si="35"/>
        <v>#REF!</v>
      </c>
      <c r="J88" s="45" t="e">
        <f t="shared" ca="1" si="36"/>
        <v>#REF!</v>
      </c>
      <c r="M88" s="41" t="s">
        <v>39</v>
      </c>
      <c r="N88" s="42"/>
      <c r="O88" s="63" t="str">
        <f t="shared" si="26"/>
        <v>no match</v>
      </c>
      <c r="R88" s="41" t="s">
        <v>39</v>
      </c>
      <c r="S88" s="59"/>
      <c r="T88" s="63" t="str">
        <f t="shared" si="30"/>
        <v/>
      </c>
    </row>
    <row r="89" spans="2:20" x14ac:dyDescent="0.2">
      <c r="B89" s="140"/>
      <c r="C89" s="41" t="s">
        <v>115</v>
      </c>
      <c r="D89" s="45" t="e">
        <f t="shared" ca="1" si="31"/>
        <v>#REF!</v>
      </c>
      <c r="E89" s="45" t="e">
        <f t="shared" ca="1" si="32"/>
        <v>#REF!</v>
      </c>
      <c r="F89" s="45" t="e">
        <f t="shared" ca="1" si="33"/>
        <v>#REF!</v>
      </c>
      <c r="G89" s="45" t="e">
        <f t="shared" ca="1" si="28"/>
        <v>#REF!</v>
      </c>
      <c r="H89" s="45" t="e">
        <f t="shared" ca="1" si="34"/>
        <v>#REF!</v>
      </c>
      <c r="I89" s="45" t="e">
        <f t="shared" ca="1" si="35"/>
        <v>#REF!</v>
      </c>
      <c r="J89" s="45" t="e">
        <f t="shared" ca="1" si="36"/>
        <v>#REF!</v>
      </c>
      <c r="M89" s="41" t="s">
        <v>38</v>
      </c>
      <c r="N89" s="42"/>
      <c r="O89" s="63" t="str">
        <f t="shared" si="26"/>
        <v>no match</v>
      </c>
      <c r="R89" s="41" t="s">
        <v>38</v>
      </c>
      <c r="S89" s="59"/>
      <c r="T89" s="63" t="str">
        <f t="shared" si="30"/>
        <v/>
      </c>
    </row>
    <row r="90" spans="2:20" x14ac:dyDescent="0.2">
      <c r="B90" s="140"/>
      <c r="C90" s="41" t="s">
        <v>144</v>
      </c>
      <c r="D90" s="45" t="e">
        <f t="shared" ca="1" si="31"/>
        <v>#REF!</v>
      </c>
      <c r="E90" s="45" t="e">
        <f t="shared" ca="1" si="32"/>
        <v>#REF!</v>
      </c>
      <c r="F90" s="45" t="e">
        <f t="shared" ca="1" si="33"/>
        <v>#REF!</v>
      </c>
      <c r="G90" s="45" t="e">
        <f t="shared" ca="1" si="28"/>
        <v>#REF!</v>
      </c>
      <c r="H90" s="45" t="e">
        <f t="shared" ca="1" si="34"/>
        <v>#REF!</v>
      </c>
      <c r="I90" s="45" t="e">
        <f t="shared" ca="1" si="35"/>
        <v>#REF!</v>
      </c>
      <c r="J90" s="45" t="e">
        <f t="shared" ca="1" si="36"/>
        <v>#REF!</v>
      </c>
      <c r="M90" s="41" t="s">
        <v>118</v>
      </c>
      <c r="N90" s="42"/>
      <c r="O90" s="63" t="str">
        <f t="shared" si="26"/>
        <v>no match</v>
      </c>
      <c r="R90" s="41" t="s">
        <v>118</v>
      </c>
      <c r="S90" s="59"/>
      <c r="T90" s="63" t="str">
        <f t="shared" si="30"/>
        <v/>
      </c>
    </row>
    <row r="91" spans="2:20" x14ac:dyDescent="0.2">
      <c r="B91" s="140"/>
      <c r="C91" s="41" t="s">
        <v>5</v>
      </c>
      <c r="D91" s="45" t="e">
        <f t="shared" ca="1" si="31"/>
        <v>#REF!</v>
      </c>
      <c r="E91" s="45" t="e">
        <f t="shared" ca="1" si="32"/>
        <v>#REF!</v>
      </c>
      <c r="F91" s="45" t="e">
        <f t="shared" ca="1" si="33"/>
        <v>#REF!</v>
      </c>
      <c r="G91" s="45" t="e">
        <f t="shared" ca="1" si="28"/>
        <v>#REF!</v>
      </c>
      <c r="H91" s="45" t="e">
        <f t="shared" ca="1" si="34"/>
        <v>#REF!</v>
      </c>
      <c r="I91" s="45" t="e">
        <f t="shared" ca="1" si="35"/>
        <v>#REF!</v>
      </c>
      <c r="J91" s="45" t="e">
        <f t="shared" ca="1" si="36"/>
        <v>#REF!</v>
      </c>
      <c r="M91" s="41" t="s">
        <v>154</v>
      </c>
      <c r="N91" s="42"/>
      <c r="O91" s="63" t="str">
        <f t="shared" si="26"/>
        <v>no match</v>
      </c>
      <c r="R91" s="41" t="s">
        <v>154</v>
      </c>
      <c r="S91" s="59"/>
      <c r="T91" s="63" t="str">
        <f t="shared" si="30"/>
        <v>no match</v>
      </c>
    </row>
    <row r="92" spans="2:20" x14ac:dyDescent="0.2">
      <c r="B92" s="137" t="s">
        <v>146</v>
      </c>
      <c r="C92" s="42" t="s">
        <v>147</v>
      </c>
      <c r="D92" s="46" t="e">
        <f t="shared" ca="1" si="31"/>
        <v>#REF!</v>
      </c>
      <c r="E92" s="46" t="e">
        <f t="shared" ca="1" si="32"/>
        <v>#REF!</v>
      </c>
      <c r="F92" s="46" t="e">
        <f t="shared" ca="1" si="33"/>
        <v>#REF!</v>
      </c>
      <c r="G92" s="46" t="e">
        <f t="shared" ca="1" si="28"/>
        <v>#REF!</v>
      </c>
      <c r="H92" s="46" t="e">
        <f t="shared" ca="1" si="34"/>
        <v>#REF!</v>
      </c>
      <c r="I92" s="46" t="e">
        <f t="shared" ca="1" si="35"/>
        <v>#REF!</v>
      </c>
      <c r="J92" s="46" t="e">
        <f t="shared" ca="1" si="36"/>
        <v>#REF!</v>
      </c>
      <c r="M92" s="41" t="s">
        <v>89</v>
      </c>
      <c r="N92" s="42"/>
      <c r="O92" s="63" t="str">
        <f t="shared" si="26"/>
        <v>no match</v>
      </c>
      <c r="R92" s="41" t="s">
        <v>89</v>
      </c>
      <c r="S92" s="59"/>
      <c r="T92" s="63" t="str">
        <f t="shared" si="30"/>
        <v/>
      </c>
    </row>
    <row r="93" spans="2:20" x14ac:dyDescent="0.2">
      <c r="B93" s="137"/>
      <c r="C93" s="42" t="s">
        <v>148</v>
      </c>
      <c r="D93" s="46" t="e">
        <f t="shared" ca="1" si="31"/>
        <v>#REF!</v>
      </c>
      <c r="E93" s="46" t="e">
        <f t="shared" ca="1" si="32"/>
        <v>#REF!</v>
      </c>
      <c r="F93" s="46" t="e">
        <f t="shared" ca="1" si="33"/>
        <v>#REF!</v>
      </c>
      <c r="G93" s="46" t="e">
        <f t="shared" ca="1" si="28"/>
        <v>#REF!</v>
      </c>
      <c r="H93" s="46" t="e">
        <f t="shared" ca="1" si="34"/>
        <v>#REF!</v>
      </c>
      <c r="I93" s="46" t="e">
        <f t="shared" ca="1" si="35"/>
        <v>#REF!</v>
      </c>
      <c r="J93" s="46" t="e">
        <f t="shared" ca="1" si="36"/>
        <v>#REF!</v>
      </c>
      <c r="M93" s="41" t="s">
        <v>151</v>
      </c>
      <c r="N93" s="42"/>
      <c r="O93" s="63" t="str">
        <f t="shared" ref="O93:O124" si="37">IF(OR(IF(ISNA(VLOOKUP(M93,$N$4:$N$130,1,)),FALSE,TRUE),IF(ISNA(VLOOKUP(N93,$M$4:$M$130,1,)),FALSE,TRUE))=FALSE, "no match","")</f>
        <v>no match</v>
      </c>
      <c r="R93" s="41" t="s">
        <v>151</v>
      </c>
      <c r="S93" s="59"/>
      <c r="T93" s="63" t="str">
        <f t="shared" si="30"/>
        <v/>
      </c>
    </row>
    <row r="94" spans="2:20" x14ac:dyDescent="0.2">
      <c r="B94" s="137"/>
      <c r="C94" s="42" t="s">
        <v>84</v>
      </c>
      <c r="D94" s="46" t="e">
        <f t="shared" ca="1" si="31"/>
        <v>#REF!</v>
      </c>
      <c r="E94" s="46" t="e">
        <f t="shared" ca="1" si="32"/>
        <v>#REF!</v>
      </c>
      <c r="F94" s="46" t="e">
        <f t="shared" ca="1" si="33"/>
        <v>#REF!</v>
      </c>
      <c r="G94" s="46" t="e">
        <f t="shared" ca="1" si="28"/>
        <v>#REF!</v>
      </c>
      <c r="H94" s="46" t="e">
        <f t="shared" ca="1" si="34"/>
        <v>#REF!</v>
      </c>
      <c r="I94" s="46" t="e">
        <f t="shared" ca="1" si="35"/>
        <v>#REF!</v>
      </c>
      <c r="J94" s="46" t="e">
        <f t="shared" ca="1" si="36"/>
        <v>#REF!</v>
      </c>
      <c r="M94" s="41" t="s">
        <v>2</v>
      </c>
      <c r="N94" s="42"/>
      <c r="O94" s="63" t="str">
        <f t="shared" si="37"/>
        <v/>
      </c>
      <c r="R94" s="41" t="s">
        <v>2</v>
      </c>
      <c r="S94" s="59"/>
      <c r="T94" s="63" t="str">
        <f t="shared" si="30"/>
        <v/>
      </c>
    </row>
    <row r="95" spans="2:20" x14ac:dyDescent="0.2">
      <c r="B95" s="137"/>
      <c r="C95" s="42" t="s">
        <v>29</v>
      </c>
      <c r="D95" s="46" t="e">
        <f t="shared" ca="1" si="31"/>
        <v>#REF!</v>
      </c>
      <c r="E95" s="46" t="e">
        <f t="shared" ca="1" si="32"/>
        <v>#REF!</v>
      </c>
      <c r="F95" s="46" t="e">
        <f t="shared" ca="1" si="33"/>
        <v>#REF!</v>
      </c>
      <c r="G95" s="46" t="e">
        <f t="shared" ca="1" si="28"/>
        <v>#REF!</v>
      </c>
      <c r="H95" s="46" t="e">
        <f t="shared" ca="1" si="34"/>
        <v>#REF!</v>
      </c>
      <c r="I95" s="46" t="e">
        <f t="shared" ca="1" si="35"/>
        <v>#REF!</v>
      </c>
      <c r="J95" s="46" t="e">
        <f t="shared" ca="1" si="36"/>
        <v>#REF!</v>
      </c>
      <c r="M95" s="41" t="s">
        <v>3</v>
      </c>
      <c r="N95" s="42"/>
      <c r="O95" s="63" t="str">
        <f t="shared" si="37"/>
        <v/>
      </c>
      <c r="R95" s="41" t="s">
        <v>3</v>
      </c>
      <c r="S95" s="59"/>
      <c r="T95" s="63" t="str">
        <f t="shared" si="30"/>
        <v/>
      </c>
    </row>
    <row r="96" spans="2:20" x14ac:dyDescent="0.2">
      <c r="B96" s="137"/>
      <c r="C96" s="42" t="s">
        <v>30</v>
      </c>
      <c r="D96" s="46" t="e">
        <f t="shared" ca="1" si="31"/>
        <v>#REF!</v>
      </c>
      <c r="E96" s="46" t="e">
        <f t="shared" ca="1" si="32"/>
        <v>#REF!</v>
      </c>
      <c r="F96" s="46" t="e">
        <f t="shared" ca="1" si="33"/>
        <v>#REF!</v>
      </c>
      <c r="G96" s="46" t="e">
        <f t="shared" ca="1" si="28"/>
        <v>#REF!</v>
      </c>
      <c r="H96" s="46" t="e">
        <f t="shared" ca="1" si="34"/>
        <v>#REF!</v>
      </c>
      <c r="I96" s="46" t="e">
        <f t="shared" ca="1" si="35"/>
        <v>#REF!</v>
      </c>
      <c r="J96" s="46" t="e">
        <f t="shared" ca="1" si="36"/>
        <v>#REF!</v>
      </c>
      <c r="M96" s="41" t="s">
        <v>4</v>
      </c>
      <c r="N96" s="42"/>
      <c r="O96" s="63" t="str">
        <f t="shared" si="37"/>
        <v/>
      </c>
      <c r="R96" s="41" t="s">
        <v>4</v>
      </c>
      <c r="S96" s="59"/>
      <c r="T96" s="63" t="str">
        <f t="shared" si="30"/>
        <v/>
      </c>
    </row>
    <row r="97" spans="2:20" x14ac:dyDescent="0.2">
      <c r="B97" s="137"/>
      <c r="C97" s="42" t="s">
        <v>33</v>
      </c>
      <c r="D97" s="46" t="e">
        <f t="shared" ca="1" si="31"/>
        <v>#REF!</v>
      </c>
      <c r="E97" s="46" t="e">
        <f t="shared" ca="1" si="32"/>
        <v>#REF!</v>
      </c>
      <c r="F97" s="46" t="e">
        <f t="shared" ca="1" si="33"/>
        <v>#REF!</v>
      </c>
      <c r="G97" s="46" t="e">
        <f t="shared" ca="1" si="28"/>
        <v>#REF!</v>
      </c>
      <c r="H97" s="46" t="e">
        <f t="shared" ca="1" si="34"/>
        <v>#REF!</v>
      </c>
      <c r="I97" s="46" t="e">
        <f t="shared" ca="1" si="35"/>
        <v>#REF!</v>
      </c>
      <c r="J97" s="46" t="e">
        <f t="shared" ca="1" si="36"/>
        <v>#REF!</v>
      </c>
      <c r="M97" s="41" t="s">
        <v>8</v>
      </c>
      <c r="N97" s="42"/>
      <c r="O97" s="63" t="str">
        <f t="shared" si="37"/>
        <v>no match</v>
      </c>
      <c r="R97" s="41" t="s">
        <v>8</v>
      </c>
      <c r="S97" s="59"/>
      <c r="T97" s="63" t="str">
        <f t="shared" si="30"/>
        <v/>
      </c>
    </row>
    <row r="98" spans="2:20" x14ac:dyDescent="0.2">
      <c r="B98" s="137"/>
      <c r="C98" s="42" t="s">
        <v>34</v>
      </c>
      <c r="D98" s="46" t="e">
        <f t="shared" ca="1" si="31"/>
        <v>#REF!</v>
      </c>
      <c r="E98" s="46" t="e">
        <f t="shared" ca="1" si="32"/>
        <v>#REF!</v>
      </c>
      <c r="F98" s="46" t="e">
        <f t="shared" ca="1" si="33"/>
        <v>#REF!</v>
      </c>
      <c r="G98" s="46" t="e">
        <f t="shared" ca="1" si="28"/>
        <v>#REF!</v>
      </c>
      <c r="H98" s="46" t="e">
        <f t="shared" ca="1" si="34"/>
        <v>#REF!</v>
      </c>
      <c r="I98" s="46" t="e">
        <f t="shared" ca="1" si="35"/>
        <v>#REF!</v>
      </c>
      <c r="J98" s="46" t="e">
        <f t="shared" ca="1" si="36"/>
        <v>#REF!</v>
      </c>
      <c r="M98" s="41" t="s">
        <v>155</v>
      </c>
      <c r="N98" s="42"/>
      <c r="O98" s="63" t="str">
        <f t="shared" si="37"/>
        <v>no match</v>
      </c>
      <c r="R98" s="41" t="s">
        <v>155</v>
      </c>
      <c r="S98" s="59"/>
      <c r="T98" s="63" t="str">
        <f t="shared" si="30"/>
        <v/>
      </c>
    </row>
    <row r="99" spans="2:20" x14ac:dyDescent="0.2">
      <c r="B99" s="137"/>
      <c r="C99" s="42" t="s">
        <v>28</v>
      </c>
      <c r="D99" s="46" t="e">
        <f t="shared" ca="1" si="31"/>
        <v>#REF!</v>
      </c>
      <c r="E99" s="46" t="e">
        <f t="shared" ca="1" si="32"/>
        <v>#REF!</v>
      </c>
      <c r="F99" s="46" t="e">
        <f t="shared" ca="1" si="33"/>
        <v>#REF!</v>
      </c>
      <c r="G99" s="46"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46" t="e">
        <f t="shared" ca="1" si="34"/>
        <v>#REF!</v>
      </c>
      <c r="I99" s="46" t="e">
        <f t="shared" ca="1" si="35"/>
        <v>#REF!</v>
      </c>
      <c r="J99" s="46" t="e">
        <f t="shared" ca="1" si="36"/>
        <v>#REF!</v>
      </c>
      <c r="M99" s="41" t="s">
        <v>7</v>
      </c>
      <c r="N99" s="42"/>
      <c r="O99" s="63" t="str">
        <f t="shared" si="37"/>
        <v>no match</v>
      </c>
      <c r="R99" s="41" t="s">
        <v>7</v>
      </c>
      <c r="S99" s="59"/>
      <c r="T99" s="63" t="str">
        <f t="shared" si="30"/>
        <v>no match</v>
      </c>
    </row>
    <row r="100" spans="2:20" x14ac:dyDescent="0.2">
      <c r="B100" s="137"/>
      <c r="C100" s="42" t="s">
        <v>32</v>
      </c>
      <c r="D100" s="46" t="e">
        <f t="shared" ca="1" si="31"/>
        <v>#REF!</v>
      </c>
      <c r="E100" s="46" t="e">
        <f t="shared" ca="1" si="32"/>
        <v>#REF!</v>
      </c>
      <c r="F100" s="46" t="e">
        <f t="shared" ca="1" si="33"/>
        <v>#REF!</v>
      </c>
      <c r="G100" s="46" t="e">
        <f t="shared" ca="1" si="38"/>
        <v>#REF!</v>
      </c>
      <c r="H100" s="46" t="e">
        <f t="shared" ca="1" si="34"/>
        <v>#REF!</v>
      </c>
      <c r="I100" s="46" t="e">
        <f t="shared" ca="1" si="35"/>
        <v>#REF!</v>
      </c>
      <c r="J100" s="46" t="e">
        <f t="shared" ca="1" si="36"/>
        <v>#REF!</v>
      </c>
      <c r="M100" s="41" t="s">
        <v>156</v>
      </c>
      <c r="N100" s="42"/>
      <c r="O100" s="63" t="str">
        <f t="shared" si="37"/>
        <v>no match</v>
      </c>
      <c r="R100" s="41" t="s">
        <v>156</v>
      </c>
      <c r="S100" s="59"/>
      <c r="T100" s="63" t="str">
        <f t="shared" si="30"/>
        <v/>
      </c>
    </row>
    <row r="101" spans="2:20" x14ac:dyDescent="0.2">
      <c r="B101" s="137"/>
      <c r="C101" s="42" t="s">
        <v>31</v>
      </c>
      <c r="D101" s="46" t="e">
        <f t="shared" ca="1" si="31"/>
        <v>#REF!</v>
      </c>
      <c r="E101" s="46" t="e">
        <f t="shared" ca="1" si="32"/>
        <v>#REF!</v>
      </c>
      <c r="F101" s="46" t="e">
        <f t="shared" ca="1" si="33"/>
        <v>#REF!</v>
      </c>
      <c r="G101" s="46" t="e">
        <f t="shared" ca="1" si="38"/>
        <v>#REF!</v>
      </c>
      <c r="H101" s="46" t="e">
        <f t="shared" ca="1" si="34"/>
        <v>#REF!</v>
      </c>
      <c r="I101" s="46" t="e">
        <f t="shared" ca="1" si="35"/>
        <v>#REF!</v>
      </c>
      <c r="J101" s="46" t="e">
        <f t="shared" ca="1" si="36"/>
        <v>#REF!</v>
      </c>
      <c r="M101" s="41" t="s">
        <v>32</v>
      </c>
      <c r="N101" s="42"/>
      <c r="O101" s="63" t="str">
        <f t="shared" si="37"/>
        <v>no match</v>
      </c>
      <c r="R101" s="41" t="s">
        <v>32</v>
      </c>
      <c r="S101" s="59"/>
      <c r="T101" s="63" t="str">
        <f t="shared" si="30"/>
        <v>no match</v>
      </c>
    </row>
    <row r="102" spans="2:20" x14ac:dyDescent="0.2">
      <c r="B102" s="137"/>
      <c r="C102" s="42" t="s">
        <v>35</v>
      </c>
      <c r="D102" s="46" t="e">
        <f t="shared" ca="1" si="31"/>
        <v>#REF!</v>
      </c>
      <c r="E102" s="46" t="e">
        <f t="shared" ca="1" si="32"/>
        <v>#REF!</v>
      </c>
      <c r="F102" s="46" t="e">
        <f t="shared" ca="1" si="33"/>
        <v>#REF!</v>
      </c>
      <c r="G102" s="46" t="e">
        <f t="shared" ca="1" si="38"/>
        <v>#REF!</v>
      </c>
      <c r="H102" s="46" t="e">
        <f t="shared" ca="1" si="34"/>
        <v>#REF!</v>
      </c>
      <c r="I102" s="46" t="e">
        <f t="shared" ca="1" si="35"/>
        <v>#REF!</v>
      </c>
      <c r="J102" s="46" t="e">
        <f t="shared" ca="1" si="36"/>
        <v>#REF!</v>
      </c>
      <c r="M102" s="41" t="s">
        <v>31</v>
      </c>
      <c r="N102" s="42"/>
      <c r="O102" s="63" t="str">
        <f t="shared" si="37"/>
        <v>no match</v>
      </c>
      <c r="R102" s="41" t="s">
        <v>31</v>
      </c>
      <c r="S102" s="59"/>
      <c r="T102" s="63" t="str">
        <f t="shared" si="30"/>
        <v>no match</v>
      </c>
    </row>
    <row r="103" spans="2:20" x14ac:dyDescent="0.2">
      <c r="B103" s="48" t="s">
        <v>149</v>
      </c>
      <c r="C103" s="41" t="s">
        <v>36</v>
      </c>
      <c r="D103" s="45" t="e">
        <f t="shared" ca="1" si="31"/>
        <v>#REF!</v>
      </c>
      <c r="E103" s="45" t="e">
        <f t="shared" ca="1" si="32"/>
        <v>#REF!</v>
      </c>
      <c r="F103" s="45" t="e">
        <f t="shared" ca="1" si="33"/>
        <v>#REF!</v>
      </c>
      <c r="G103" s="45" t="e">
        <f t="shared" ca="1" si="38"/>
        <v>#REF!</v>
      </c>
      <c r="H103" s="45" t="e">
        <f t="shared" ca="1" si="34"/>
        <v>#REF!</v>
      </c>
      <c r="I103" s="45" t="e">
        <f t="shared" ca="1" si="35"/>
        <v>#REF!</v>
      </c>
      <c r="J103" s="45" t="e">
        <f t="shared" ca="1" si="36"/>
        <v>#REF!</v>
      </c>
      <c r="M103" s="41" t="s">
        <v>35</v>
      </c>
      <c r="N103" s="42"/>
      <c r="O103" s="63" t="str">
        <f t="shared" si="37"/>
        <v>no match</v>
      </c>
      <c r="R103" s="41" t="s">
        <v>35</v>
      </c>
      <c r="S103" s="59"/>
      <c r="T103" s="63" t="str">
        <f t="shared" si="30"/>
        <v>no match</v>
      </c>
    </row>
    <row r="104" spans="2:20" x14ac:dyDescent="0.2">
      <c r="B104" s="137" t="s">
        <v>152</v>
      </c>
      <c r="C104" s="42" t="s">
        <v>37</v>
      </c>
      <c r="D104" s="46" t="e">
        <f t="shared" ca="1" si="31"/>
        <v>#REF!</v>
      </c>
      <c r="E104" s="46" t="e">
        <f t="shared" ca="1" si="32"/>
        <v>#REF!</v>
      </c>
      <c r="F104" s="46" t="e">
        <f t="shared" ca="1" si="33"/>
        <v>#REF!</v>
      </c>
      <c r="G104" s="46" t="e">
        <f t="shared" ca="1" si="38"/>
        <v>#REF!</v>
      </c>
      <c r="H104" s="46" t="e">
        <f t="shared" ca="1" si="34"/>
        <v>#REF!</v>
      </c>
      <c r="I104" s="46" t="e">
        <f t="shared" ca="1" si="35"/>
        <v>#REF!</v>
      </c>
      <c r="J104" s="46" t="e">
        <f t="shared" ca="1" si="36"/>
        <v>#REF!</v>
      </c>
      <c r="M104" s="41" t="s">
        <v>36</v>
      </c>
      <c r="N104" s="42"/>
      <c r="O104" s="63" t="str">
        <f t="shared" si="37"/>
        <v>no match</v>
      </c>
      <c r="R104" s="41" t="s">
        <v>36</v>
      </c>
      <c r="S104" s="59"/>
      <c r="T104" s="63" t="str">
        <f t="shared" si="30"/>
        <v>no match</v>
      </c>
    </row>
    <row r="105" spans="2:20" x14ac:dyDescent="0.2">
      <c r="B105" s="137"/>
      <c r="C105" s="42" t="s">
        <v>150</v>
      </c>
      <c r="D105" s="46" t="e">
        <f t="shared" ca="1" si="31"/>
        <v>#REF!</v>
      </c>
      <c r="E105" s="46" t="e">
        <f t="shared" ca="1" si="32"/>
        <v>#REF!</v>
      </c>
      <c r="F105" s="46" t="e">
        <f t="shared" ca="1" si="33"/>
        <v>#REF!</v>
      </c>
      <c r="G105" s="46" t="e">
        <f t="shared" ca="1" si="38"/>
        <v>#REF!</v>
      </c>
      <c r="H105" s="46" t="e">
        <f t="shared" ca="1" si="34"/>
        <v>#REF!</v>
      </c>
      <c r="I105" s="46" t="e">
        <f t="shared" ca="1" si="35"/>
        <v>#REF!</v>
      </c>
      <c r="J105" s="46" t="e">
        <f t="shared" ca="1" si="36"/>
        <v>#REF!</v>
      </c>
      <c r="M105" s="41" t="s">
        <v>37</v>
      </c>
      <c r="N105" s="42"/>
      <c r="O105" s="63" t="str">
        <f t="shared" si="37"/>
        <v>no match</v>
      </c>
      <c r="R105" s="41" t="s">
        <v>37</v>
      </c>
      <c r="S105" s="59" t="s">
        <v>37</v>
      </c>
      <c r="T105" s="63" t="str">
        <f t="shared" si="30"/>
        <v/>
      </c>
    </row>
    <row r="106" spans="2:20" x14ac:dyDescent="0.2">
      <c r="B106" s="137"/>
      <c r="C106" s="42" t="s">
        <v>117</v>
      </c>
      <c r="D106" s="46" t="e">
        <f t="shared" ca="1" si="31"/>
        <v>#REF!</v>
      </c>
      <c r="E106" s="46" t="e">
        <f t="shared" ca="1" si="32"/>
        <v>#REF!</v>
      </c>
      <c r="F106" s="46" t="e">
        <f t="shared" ca="1" si="33"/>
        <v>#REF!</v>
      </c>
      <c r="G106" s="46" t="e">
        <f t="shared" ca="1" si="38"/>
        <v>#REF!</v>
      </c>
      <c r="H106" s="46" t="e">
        <f t="shared" ca="1" si="34"/>
        <v>#REF!</v>
      </c>
      <c r="I106" s="46" t="e">
        <f t="shared" ca="1" si="35"/>
        <v>#REF!</v>
      </c>
      <c r="J106" s="46" t="e">
        <f t="shared" ca="1" si="36"/>
        <v>#REF!</v>
      </c>
      <c r="M106" s="41" t="s">
        <v>150</v>
      </c>
      <c r="N106" s="42"/>
      <c r="O106" s="63" t="str">
        <f t="shared" si="37"/>
        <v>no match</v>
      </c>
      <c r="R106" s="41" t="s">
        <v>150</v>
      </c>
      <c r="S106" s="59" t="s">
        <v>150</v>
      </c>
      <c r="T106" s="63" t="str">
        <f t="shared" si="30"/>
        <v/>
      </c>
    </row>
    <row r="107" spans="2:20" x14ac:dyDescent="0.2">
      <c r="B107" s="137"/>
      <c r="C107" s="42" t="s">
        <v>39</v>
      </c>
      <c r="D107" s="46" t="e">
        <f t="shared" ca="1" si="31"/>
        <v>#REF!</v>
      </c>
      <c r="E107" s="46" t="e">
        <f t="shared" ca="1" si="32"/>
        <v>#REF!</v>
      </c>
      <c r="F107" s="46" t="e">
        <f t="shared" ca="1" si="33"/>
        <v>#REF!</v>
      </c>
      <c r="G107" s="46" t="e">
        <f t="shared" ca="1" si="38"/>
        <v>#REF!</v>
      </c>
      <c r="H107" s="46" t="e">
        <f t="shared" ca="1" si="34"/>
        <v>#REF!</v>
      </c>
      <c r="I107" s="46" t="e">
        <f t="shared" ca="1" si="35"/>
        <v>#REF!</v>
      </c>
      <c r="J107" s="46" t="e">
        <f t="shared" ca="1" si="36"/>
        <v>#REF!</v>
      </c>
      <c r="M107" s="41" t="s">
        <v>117</v>
      </c>
      <c r="N107" s="42"/>
      <c r="O107" s="63" t="str">
        <f t="shared" si="37"/>
        <v>no match</v>
      </c>
      <c r="R107" s="41" t="s">
        <v>117</v>
      </c>
      <c r="S107" s="59" t="s">
        <v>117</v>
      </c>
      <c r="T107" s="63" t="str">
        <f t="shared" si="30"/>
        <v/>
      </c>
    </row>
    <row r="108" spans="2:20" x14ac:dyDescent="0.2">
      <c r="B108" s="137"/>
      <c r="C108" s="42" t="s">
        <v>38</v>
      </c>
      <c r="D108" s="46" t="e">
        <f t="shared" ca="1" si="31"/>
        <v>#REF!</v>
      </c>
      <c r="E108" s="46" t="e">
        <f t="shared" ca="1" si="32"/>
        <v>#REF!</v>
      </c>
      <c r="F108" s="46" t="e">
        <f t="shared" ca="1" si="33"/>
        <v>#REF!</v>
      </c>
      <c r="G108" s="46" t="e">
        <f t="shared" ca="1" si="38"/>
        <v>#REF!</v>
      </c>
      <c r="H108" s="46" t="e">
        <f t="shared" ca="1" si="34"/>
        <v>#REF!</v>
      </c>
      <c r="I108" s="46" t="e">
        <f t="shared" ca="1" si="35"/>
        <v>#REF!</v>
      </c>
      <c r="J108" s="46" t="e">
        <f t="shared" ca="1" si="36"/>
        <v>#REF!</v>
      </c>
      <c r="M108" s="41" t="s">
        <v>39</v>
      </c>
      <c r="N108" s="42"/>
      <c r="O108" s="63" t="str">
        <f t="shared" si="37"/>
        <v>no match</v>
      </c>
      <c r="R108" s="41" t="s">
        <v>39</v>
      </c>
      <c r="S108" s="59" t="s">
        <v>39</v>
      </c>
      <c r="T108" s="63" t="str">
        <f t="shared" si="30"/>
        <v/>
      </c>
    </row>
    <row r="109" spans="2:20" x14ac:dyDescent="0.2">
      <c r="B109" s="137"/>
      <c r="C109" s="42" t="s">
        <v>118</v>
      </c>
      <c r="D109" s="46" t="e">
        <f t="shared" ca="1" si="31"/>
        <v>#REF!</v>
      </c>
      <c r="E109" s="46" t="e">
        <f t="shared" ca="1" si="32"/>
        <v>#REF!</v>
      </c>
      <c r="F109" s="46" t="e">
        <f t="shared" ca="1" si="33"/>
        <v>#REF!</v>
      </c>
      <c r="G109" s="46" t="e">
        <f t="shared" ca="1" si="38"/>
        <v>#REF!</v>
      </c>
      <c r="H109" s="46" t="e">
        <f t="shared" ca="1" si="34"/>
        <v>#REF!</v>
      </c>
      <c r="I109" s="46" t="e">
        <f t="shared" ca="1" si="35"/>
        <v>#REF!</v>
      </c>
      <c r="J109" s="46" t="e">
        <f t="shared" ca="1" si="36"/>
        <v>#REF!</v>
      </c>
      <c r="M109" s="41" t="s">
        <v>38</v>
      </c>
      <c r="N109" s="42"/>
      <c r="O109" s="63" t="str">
        <f t="shared" si="37"/>
        <v>no match</v>
      </c>
      <c r="R109" s="41" t="s">
        <v>38</v>
      </c>
      <c r="S109" s="59" t="s">
        <v>38</v>
      </c>
      <c r="T109" s="63" t="str">
        <f t="shared" si="30"/>
        <v/>
      </c>
    </row>
    <row r="110" spans="2:20" x14ac:dyDescent="0.2">
      <c r="B110" s="137"/>
      <c r="C110" s="42" t="s">
        <v>154</v>
      </c>
      <c r="D110" s="46" t="e">
        <f t="shared" ca="1" si="31"/>
        <v>#REF!</v>
      </c>
      <c r="E110" s="46" t="e">
        <f t="shared" ca="1" si="32"/>
        <v>#REF!</v>
      </c>
      <c r="F110" s="46" t="e">
        <f t="shared" ca="1" si="33"/>
        <v>#REF!</v>
      </c>
      <c r="G110" s="46" t="e">
        <f t="shared" ca="1" si="38"/>
        <v>#REF!</v>
      </c>
      <c r="H110" s="46" t="e">
        <f t="shared" ca="1" si="34"/>
        <v>#REF!</v>
      </c>
      <c r="I110" s="46" t="e">
        <f t="shared" ca="1" si="35"/>
        <v>#REF!</v>
      </c>
      <c r="J110" s="46" t="e">
        <f t="shared" ca="1" si="36"/>
        <v>#REF!</v>
      </c>
      <c r="M110" s="41" t="s">
        <v>118</v>
      </c>
      <c r="N110" s="42"/>
      <c r="O110" s="63" t="str">
        <f t="shared" si="37"/>
        <v>no match</v>
      </c>
      <c r="R110" s="41" t="s">
        <v>118</v>
      </c>
      <c r="S110" s="59" t="s">
        <v>118</v>
      </c>
      <c r="T110" s="63" t="str">
        <f t="shared" si="30"/>
        <v/>
      </c>
    </row>
    <row r="111" spans="2:20" x14ac:dyDescent="0.2">
      <c r="B111" s="137"/>
      <c r="C111" s="42" t="s">
        <v>89</v>
      </c>
      <c r="D111" s="46" t="e">
        <f t="shared" ca="1" si="31"/>
        <v>#REF!</v>
      </c>
      <c r="E111" s="46" t="e">
        <f t="shared" ca="1" si="32"/>
        <v>#REF!</v>
      </c>
      <c r="F111" s="46" t="e">
        <f t="shared" ca="1" si="33"/>
        <v>#REF!</v>
      </c>
      <c r="G111" s="46" t="e">
        <f t="shared" ca="1" si="38"/>
        <v>#REF!</v>
      </c>
      <c r="H111" s="46" t="e">
        <f t="shared" ca="1" si="34"/>
        <v>#REF!</v>
      </c>
      <c r="I111" s="46" t="e">
        <f t="shared" ca="1" si="35"/>
        <v>#REF!</v>
      </c>
      <c r="J111" s="46" t="e">
        <f t="shared" ca="1" si="36"/>
        <v>#REF!</v>
      </c>
      <c r="M111" s="41" t="s">
        <v>154</v>
      </c>
      <c r="N111" s="42"/>
      <c r="O111" s="63" t="str">
        <f t="shared" si="37"/>
        <v>no match</v>
      </c>
      <c r="R111" s="41" t="s">
        <v>154</v>
      </c>
      <c r="S111" s="59" t="s">
        <v>89</v>
      </c>
      <c r="T111" s="63" t="str">
        <f t="shared" si="30"/>
        <v/>
      </c>
    </row>
    <row r="112" spans="2:20" x14ac:dyDescent="0.2">
      <c r="B112" s="140" t="s">
        <v>153</v>
      </c>
      <c r="C112" s="41" t="s">
        <v>151</v>
      </c>
      <c r="D112" s="45" t="e">
        <f t="shared" ca="1" si="31"/>
        <v>#REF!</v>
      </c>
      <c r="E112" s="45" t="e">
        <f t="shared" ca="1" si="32"/>
        <v>#REF!</v>
      </c>
      <c r="F112" s="45" t="e">
        <f t="shared" ca="1" si="33"/>
        <v>#REF!</v>
      </c>
      <c r="G112" s="45" t="e">
        <f t="shared" ca="1" si="38"/>
        <v>#REF!</v>
      </c>
      <c r="H112" s="45" t="e">
        <f t="shared" ca="1" si="34"/>
        <v>#REF!</v>
      </c>
      <c r="I112" s="45" t="e">
        <f t="shared" ca="1" si="35"/>
        <v>#REF!</v>
      </c>
      <c r="J112" s="45" t="e">
        <f t="shared" ca="1" si="36"/>
        <v>#REF!</v>
      </c>
      <c r="M112" s="41" t="s">
        <v>89</v>
      </c>
      <c r="N112" s="42"/>
      <c r="O112" s="63" t="str">
        <f t="shared" si="37"/>
        <v>no match</v>
      </c>
      <c r="R112" s="41" t="s">
        <v>89</v>
      </c>
      <c r="S112" s="59" t="s">
        <v>151</v>
      </c>
      <c r="T112" s="63" t="str">
        <f t="shared" si="30"/>
        <v/>
      </c>
    </row>
    <row r="113" spans="2:20" x14ac:dyDescent="0.2">
      <c r="B113" s="140"/>
      <c r="C113" s="41" t="s">
        <v>37</v>
      </c>
      <c r="D113" s="45" t="e">
        <f t="shared" ca="1" si="31"/>
        <v>#REF!</v>
      </c>
      <c r="E113" s="45" t="e">
        <f t="shared" ca="1" si="32"/>
        <v>#REF!</v>
      </c>
      <c r="F113" s="45" t="e">
        <f t="shared" ca="1" si="33"/>
        <v>#REF!</v>
      </c>
      <c r="G113" s="45" t="e">
        <f t="shared" ca="1" si="38"/>
        <v>#REF!</v>
      </c>
      <c r="H113" s="45" t="e">
        <f t="shared" ca="1" si="34"/>
        <v>#REF!</v>
      </c>
      <c r="I113" s="45" t="e">
        <f t="shared" ca="1" si="35"/>
        <v>#REF!</v>
      </c>
      <c r="J113" s="45" t="e">
        <f t="shared" ca="1" si="36"/>
        <v>#REF!</v>
      </c>
      <c r="M113" s="41" t="s">
        <v>151</v>
      </c>
      <c r="N113" s="42"/>
      <c r="O113" s="63" t="str">
        <f t="shared" si="37"/>
        <v>no match</v>
      </c>
      <c r="R113" s="41" t="s">
        <v>151</v>
      </c>
      <c r="S113" s="59" t="s">
        <v>37</v>
      </c>
      <c r="T113" s="63" t="str">
        <f t="shared" si="30"/>
        <v/>
      </c>
    </row>
    <row r="114" spans="2:20" x14ac:dyDescent="0.2">
      <c r="B114" s="140"/>
      <c r="C114" s="41" t="s">
        <v>150</v>
      </c>
      <c r="D114" s="45" t="e">
        <f t="shared" ca="1" si="31"/>
        <v>#REF!</v>
      </c>
      <c r="E114" s="45" t="e">
        <f t="shared" ca="1" si="32"/>
        <v>#REF!</v>
      </c>
      <c r="F114" s="45" t="e">
        <f t="shared" ca="1" si="33"/>
        <v>#REF!</v>
      </c>
      <c r="G114" s="45" t="e">
        <f t="shared" ca="1" si="38"/>
        <v>#REF!</v>
      </c>
      <c r="H114" s="45" t="e">
        <f t="shared" ca="1" si="34"/>
        <v>#REF!</v>
      </c>
      <c r="I114" s="45" t="e">
        <f t="shared" ca="1" si="35"/>
        <v>#REF!</v>
      </c>
      <c r="J114" s="45" t="e">
        <f t="shared" ca="1" si="36"/>
        <v>#REF!</v>
      </c>
      <c r="M114" s="41" t="s">
        <v>37</v>
      </c>
      <c r="N114" s="42"/>
      <c r="O114" s="63" t="str">
        <f t="shared" si="37"/>
        <v>no match</v>
      </c>
      <c r="R114" s="41" t="s">
        <v>37</v>
      </c>
      <c r="S114" s="59" t="s">
        <v>150</v>
      </c>
      <c r="T114" s="63" t="str">
        <f t="shared" si="30"/>
        <v/>
      </c>
    </row>
    <row r="115" spans="2:20" x14ac:dyDescent="0.2">
      <c r="B115" s="140"/>
      <c r="C115" s="41" t="s">
        <v>117</v>
      </c>
      <c r="D115" s="45" t="e">
        <f t="shared" ca="1" si="31"/>
        <v>#REF!</v>
      </c>
      <c r="E115" s="45" t="e">
        <f t="shared" ca="1" si="32"/>
        <v>#REF!</v>
      </c>
      <c r="F115" s="45" t="e">
        <f t="shared" ca="1" si="33"/>
        <v>#REF!</v>
      </c>
      <c r="G115" s="45" t="e">
        <f t="shared" ca="1" si="38"/>
        <v>#REF!</v>
      </c>
      <c r="H115" s="45" t="e">
        <f t="shared" ca="1" si="34"/>
        <v>#REF!</v>
      </c>
      <c r="I115" s="45" t="e">
        <f t="shared" ca="1" si="35"/>
        <v>#REF!</v>
      </c>
      <c r="J115" s="45" t="e">
        <f t="shared" ca="1" si="36"/>
        <v>#REF!</v>
      </c>
      <c r="M115" s="41" t="s">
        <v>150</v>
      </c>
      <c r="N115" s="42"/>
      <c r="O115" s="63" t="str">
        <f t="shared" si="37"/>
        <v>no match</v>
      </c>
      <c r="R115" s="41" t="s">
        <v>150</v>
      </c>
      <c r="S115" s="59" t="s">
        <v>117</v>
      </c>
      <c r="T115" s="63" t="str">
        <f t="shared" si="30"/>
        <v/>
      </c>
    </row>
    <row r="116" spans="2:20" x14ac:dyDescent="0.2">
      <c r="B116" s="140"/>
      <c r="C116" s="41" t="s">
        <v>39</v>
      </c>
      <c r="D116" s="45" t="e">
        <f t="shared" ca="1" si="31"/>
        <v>#REF!</v>
      </c>
      <c r="E116" s="45" t="e">
        <f t="shared" ca="1" si="32"/>
        <v>#REF!</v>
      </c>
      <c r="F116" s="45" t="e">
        <f t="shared" ca="1" si="33"/>
        <v>#REF!</v>
      </c>
      <c r="G116" s="45" t="e">
        <f t="shared" ca="1" si="38"/>
        <v>#REF!</v>
      </c>
      <c r="H116" s="45" t="e">
        <f t="shared" ca="1" si="34"/>
        <v>#REF!</v>
      </c>
      <c r="I116" s="45" t="e">
        <f t="shared" ca="1" si="35"/>
        <v>#REF!</v>
      </c>
      <c r="J116" s="45" t="e">
        <f t="shared" ca="1" si="36"/>
        <v>#REF!</v>
      </c>
      <c r="M116" s="41" t="s">
        <v>117</v>
      </c>
      <c r="N116" s="42"/>
      <c r="O116" s="63" t="str">
        <f t="shared" si="37"/>
        <v>no match</v>
      </c>
      <c r="R116" s="41" t="s">
        <v>117</v>
      </c>
      <c r="S116" s="59" t="s">
        <v>39</v>
      </c>
      <c r="T116" s="63" t="str">
        <f t="shared" si="30"/>
        <v/>
      </c>
    </row>
    <row r="117" spans="2:20" x14ac:dyDescent="0.2">
      <c r="B117" s="140"/>
      <c r="C117" s="41" t="s">
        <v>38</v>
      </c>
      <c r="D117" s="45"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45"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45"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45" t="e">
        <f t="shared" ca="1" si="38"/>
        <v>#REF!</v>
      </c>
      <c r="H117" s="45"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45"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45"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41" t="s">
        <v>39</v>
      </c>
      <c r="N117" s="42"/>
      <c r="O117" s="63" t="str">
        <f t="shared" si="37"/>
        <v>no match</v>
      </c>
      <c r="R117" s="41" t="s">
        <v>39</v>
      </c>
      <c r="S117" s="59" t="s">
        <v>38</v>
      </c>
      <c r="T117" s="63" t="str">
        <f t="shared" si="30"/>
        <v/>
      </c>
    </row>
    <row r="118" spans="2:20" x14ac:dyDescent="0.2">
      <c r="B118" s="140"/>
      <c r="C118" s="41" t="s">
        <v>118</v>
      </c>
      <c r="D118" s="45" t="e">
        <f t="shared" ca="1" si="39"/>
        <v>#REF!</v>
      </c>
      <c r="E118" s="45" t="e">
        <f t="shared" ca="1" si="40"/>
        <v>#REF!</v>
      </c>
      <c r="F118" s="45" t="e">
        <f t="shared" ca="1" si="41"/>
        <v>#REF!</v>
      </c>
      <c r="G118" s="45" t="e">
        <f t="shared" ca="1" si="38"/>
        <v>#REF!</v>
      </c>
      <c r="H118" s="45" t="e">
        <f t="shared" ca="1" si="42"/>
        <v>#REF!</v>
      </c>
      <c r="I118" s="45" t="e">
        <f t="shared" ca="1" si="43"/>
        <v>#REF!</v>
      </c>
      <c r="J118" s="45" t="e">
        <f t="shared" ca="1" si="44"/>
        <v>#REF!</v>
      </c>
      <c r="M118" s="41" t="s">
        <v>38</v>
      </c>
      <c r="N118" s="42"/>
      <c r="O118" s="63" t="str">
        <f t="shared" si="37"/>
        <v>no match</v>
      </c>
      <c r="R118" s="41" t="s">
        <v>38</v>
      </c>
      <c r="S118" s="59" t="s">
        <v>89</v>
      </c>
      <c r="T118" s="63" t="str">
        <f t="shared" si="30"/>
        <v/>
      </c>
    </row>
    <row r="119" spans="2:20" x14ac:dyDescent="0.2">
      <c r="B119" s="140"/>
      <c r="C119" s="41" t="s">
        <v>89</v>
      </c>
      <c r="D119" s="45" t="e">
        <f t="shared" ca="1" si="39"/>
        <v>#REF!</v>
      </c>
      <c r="E119" s="45" t="e">
        <f t="shared" ca="1" si="40"/>
        <v>#REF!</v>
      </c>
      <c r="F119" s="45" t="e">
        <f t="shared" ca="1" si="41"/>
        <v>#REF!</v>
      </c>
      <c r="G119" s="45" t="e">
        <f t="shared" ca="1" si="38"/>
        <v>#REF!</v>
      </c>
      <c r="H119" s="45" t="e">
        <f t="shared" ca="1" si="42"/>
        <v>#REF!</v>
      </c>
      <c r="I119" s="45" t="e">
        <f t="shared" ca="1" si="43"/>
        <v>#REF!</v>
      </c>
      <c r="J119" s="45" t="e">
        <f t="shared" ca="1" si="44"/>
        <v>#REF!</v>
      </c>
      <c r="M119" s="41" t="s">
        <v>118</v>
      </c>
      <c r="N119" s="42"/>
      <c r="O119" s="63" t="str">
        <f t="shared" si="37"/>
        <v>no match</v>
      </c>
      <c r="R119" s="41" t="s">
        <v>118</v>
      </c>
      <c r="S119" s="59" t="s">
        <v>151</v>
      </c>
      <c r="T119" s="63" t="str">
        <f t="shared" si="30"/>
        <v/>
      </c>
    </row>
    <row r="120" spans="2:20" x14ac:dyDescent="0.2">
      <c r="B120" s="140"/>
      <c r="C120" s="41" t="s">
        <v>151</v>
      </c>
      <c r="D120" s="45" t="e">
        <f t="shared" ca="1" si="39"/>
        <v>#REF!</v>
      </c>
      <c r="E120" s="45" t="e">
        <f t="shared" ca="1" si="40"/>
        <v>#REF!</v>
      </c>
      <c r="F120" s="45" t="e">
        <f t="shared" ca="1" si="41"/>
        <v>#REF!</v>
      </c>
      <c r="G120" s="45" t="e">
        <f t="shared" ca="1" si="38"/>
        <v>#REF!</v>
      </c>
      <c r="H120" s="45" t="e">
        <f t="shared" ca="1" si="42"/>
        <v>#REF!</v>
      </c>
      <c r="I120" s="45" t="e">
        <f t="shared" ca="1" si="43"/>
        <v>#REF!</v>
      </c>
      <c r="J120" s="45" t="e">
        <f t="shared" ca="1" si="44"/>
        <v>#REF!</v>
      </c>
      <c r="M120" s="41" t="s">
        <v>89</v>
      </c>
      <c r="N120" s="42"/>
      <c r="O120" s="63" t="str">
        <f t="shared" si="37"/>
        <v>no match</v>
      </c>
      <c r="R120" s="41" t="s">
        <v>89</v>
      </c>
      <c r="S120" s="59"/>
      <c r="T120" s="63" t="str">
        <f t="shared" si="30"/>
        <v/>
      </c>
    </row>
    <row r="121" spans="2:20" x14ac:dyDescent="0.2">
      <c r="B121" s="137" t="s">
        <v>1</v>
      </c>
      <c r="C121" s="42" t="s">
        <v>2</v>
      </c>
      <c r="D121" s="46" t="e">
        <f t="shared" ca="1" si="39"/>
        <v>#REF!</v>
      </c>
      <c r="E121" s="46" t="e">
        <f t="shared" ca="1" si="40"/>
        <v>#REF!</v>
      </c>
      <c r="F121" s="46" t="e">
        <f t="shared" ca="1" si="41"/>
        <v>#REF!</v>
      </c>
      <c r="G121" s="46" t="e">
        <f t="shared" ca="1" si="38"/>
        <v>#REF!</v>
      </c>
      <c r="H121" s="46" t="e">
        <f t="shared" ca="1" si="42"/>
        <v>#REF!</v>
      </c>
      <c r="I121" s="46" t="e">
        <f t="shared" ca="1" si="43"/>
        <v>#REF!</v>
      </c>
      <c r="J121" s="46" t="e">
        <f t="shared" ca="1" si="44"/>
        <v>#REF!</v>
      </c>
      <c r="M121" s="41" t="s">
        <v>151</v>
      </c>
      <c r="N121" s="42"/>
      <c r="O121" s="63" t="str">
        <f t="shared" si="37"/>
        <v>no match</v>
      </c>
      <c r="R121" s="41" t="s">
        <v>151</v>
      </c>
      <c r="S121" s="59"/>
      <c r="T121" s="63" t="str">
        <f t="shared" si="30"/>
        <v/>
      </c>
    </row>
    <row r="122" spans="2:20" x14ac:dyDescent="0.2">
      <c r="B122" s="137"/>
      <c r="C122" s="42" t="s">
        <v>3</v>
      </c>
      <c r="D122" s="46" t="e">
        <f t="shared" ca="1" si="39"/>
        <v>#REF!</v>
      </c>
      <c r="E122" s="46" t="e">
        <f t="shared" ca="1" si="40"/>
        <v>#REF!</v>
      </c>
      <c r="F122" s="46" t="e">
        <f t="shared" ca="1" si="41"/>
        <v>#REF!</v>
      </c>
      <c r="G122" s="46" t="e">
        <f t="shared" ca="1" si="38"/>
        <v>#REF!</v>
      </c>
      <c r="H122" s="46" t="e">
        <f t="shared" ca="1" si="42"/>
        <v>#REF!</v>
      </c>
      <c r="I122" s="46" t="e">
        <f t="shared" ca="1" si="43"/>
        <v>#REF!</v>
      </c>
      <c r="J122" s="46" t="e">
        <f t="shared" ca="1" si="44"/>
        <v>#REF!</v>
      </c>
      <c r="M122" s="41" t="s">
        <v>2</v>
      </c>
      <c r="N122" s="42" t="s">
        <v>2</v>
      </c>
      <c r="O122" s="63" t="str">
        <f t="shared" si="37"/>
        <v/>
      </c>
      <c r="R122" s="41" t="s">
        <v>2</v>
      </c>
      <c r="S122" s="59" t="s">
        <v>2</v>
      </c>
      <c r="T122" s="63" t="str">
        <f t="shared" si="30"/>
        <v/>
      </c>
    </row>
    <row r="123" spans="2:20" x14ac:dyDescent="0.2">
      <c r="B123" s="137"/>
      <c r="C123" s="42" t="s">
        <v>4</v>
      </c>
      <c r="D123" s="46" t="e">
        <f t="shared" ca="1" si="39"/>
        <v>#REF!</v>
      </c>
      <c r="E123" s="46" t="e">
        <f t="shared" ca="1" si="40"/>
        <v>#REF!</v>
      </c>
      <c r="F123" s="46" t="e">
        <f t="shared" ca="1" si="41"/>
        <v>#REF!</v>
      </c>
      <c r="G123" s="46" t="e">
        <f t="shared" ca="1" si="38"/>
        <v>#REF!</v>
      </c>
      <c r="H123" s="46" t="e">
        <f t="shared" ca="1" si="42"/>
        <v>#REF!</v>
      </c>
      <c r="I123" s="46" t="e">
        <f t="shared" ca="1" si="43"/>
        <v>#REF!</v>
      </c>
      <c r="J123" s="46" t="e">
        <f t="shared" ca="1" si="44"/>
        <v>#REF!</v>
      </c>
      <c r="M123" s="41" t="s">
        <v>3</v>
      </c>
      <c r="N123" s="42" t="s">
        <v>3</v>
      </c>
      <c r="O123" s="63" t="str">
        <f t="shared" si="37"/>
        <v/>
      </c>
      <c r="R123" s="41" t="s">
        <v>3</v>
      </c>
      <c r="S123" s="59" t="s">
        <v>3</v>
      </c>
      <c r="T123" s="63" t="str">
        <f t="shared" si="30"/>
        <v/>
      </c>
    </row>
    <row r="124" spans="2:20" x14ac:dyDescent="0.2">
      <c r="B124" s="142" t="s">
        <v>157</v>
      </c>
      <c r="C124" s="41" t="s">
        <v>8</v>
      </c>
      <c r="D124" s="45" t="e">
        <f t="shared" ca="1" si="39"/>
        <v>#REF!</v>
      </c>
      <c r="E124" s="45" t="e">
        <f t="shared" ca="1" si="40"/>
        <v>#REF!</v>
      </c>
      <c r="F124" s="45" t="e">
        <f t="shared" ca="1" si="41"/>
        <v>#REF!</v>
      </c>
      <c r="G124" s="45" t="e">
        <f t="shared" ca="1" si="38"/>
        <v>#REF!</v>
      </c>
      <c r="H124" s="45" t="e">
        <f t="shared" ca="1" si="42"/>
        <v>#REF!</v>
      </c>
      <c r="I124" s="45" t="e">
        <f t="shared" ca="1" si="43"/>
        <v>#REF!</v>
      </c>
      <c r="J124" s="45" t="e">
        <f t="shared" ca="1" si="44"/>
        <v>#REF!</v>
      </c>
      <c r="M124" s="41" t="s">
        <v>4</v>
      </c>
      <c r="N124" s="42" t="s">
        <v>4</v>
      </c>
      <c r="O124" s="63" t="str">
        <f t="shared" si="37"/>
        <v/>
      </c>
      <c r="R124" s="41" t="s">
        <v>4</v>
      </c>
      <c r="S124" s="59" t="s">
        <v>4</v>
      </c>
      <c r="T124" s="63" t="str">
        <f t="shared" si="30"/>
        <v/>
      </c>
    </row>
    <row r="125" spans="2:20" x14ac:dyDescent="0.2">
      <c r="B125" s="143"/>
      <c r="C125" s="41" t="s">
        <v>155</v>
      </c>
      <c r="D125" s="45" t="e">
        <f t="shared" ca="1" si="39"/>
        <v>#REF!</v>
      </c>
      <c r="E125" s="45" t="e">
        <f t="shared" ca="1" si="40"/>
        <v>#REF!</v>
      </c>
      <c r="F125" s="45" t="e">
        <f t="shared" ca="1" si="41"/>
        <v>#REF!</v>
      </c>
      <c r="G125" s="45" t="e">
        <f t="shared" ca="1" si="38"/>
        <v>#REF!</v>
      </c>
      <c r="H125" s="45" t="e">
        <f t="shared" ca="1" si="42"/>
        <v>#REF!</v>
      </c>
      <c r="I125" s="45" t="e">
        <f t="shared" ca="1" si="43"/>
        <v>#REF!</v>
      </c>
      <c r="J125" s="45" t="e">
        <f t="shared" ca="1" si="44"/>
        <v>#REF!</v>
      </c>
      <c r="M125" s="41" t="s">
        <v>8</v>
      </c>
      <c r="N125" s="42"/>
      <c r="O125" s="63" t="str">
        <f t="shared" ref="O125:O126" si="45">IF(OR(IF(ISNA(VLOOKUP(M125,$N$4:$N$130,1,)),FALSE,TRUE),IF(ISNA(VLOOKUP(N125,$M$4:$M$130,1,)),FALSE,TRUE))=FALSE, "no match","")</f>
        <v>no match</v>
      </c>
      <c r="R125" s="41" t="s">
        <v>8</v>
      </c>
      <c r="S125" s="59" t="s">
        <v>8</v>
      </c>
      <c r="T125" s="63" t="str">
        <f t="shared" si="30"/>
        <v/>
      </c>
    </row>
    <row r="126" spans="2:20" x14ac:dyDescent="0.2">
      <c r="B126" s="143"/>
      <c r="C126" s="41" t="s">
        <v>7</v>
      </c>
      <c r="D126" s="45" t="e">
        <f t="shared" ca="1" si="39"/>
        <v>#REF!</v>
      </c>
      <c r="E126" s="45" t="e">
        <f t="shared" ca="1" si="40"/>
        <v>#REF!</v>
      </c>
      <c r="F126" s="45" t="e">
        <f t="shared" ca="1" si="41"/>
        <v>#REF!</v>
      </c>
      <c r="G126" s="45" t="e">
        <f t="shared" ca="1" si="38"/>
        <v>#REF!</v>
      </c>
      <c r="H126" s="45" t="e">
        <f t="shared" ca="1" si="42"/>
        <v>#REF!</v>
      </c>
      <c r="I126" s="45" t="e">
        <f t="shared" ca="1" si="43"/>
        <v>#REF!</v>
      </c>
      <c r="J126" s="45" t="e">
        <f t="shared" ca="1" si="44"/>
        <v>#REF!</v>
      </c>
      <c r="M126" s="41" t="s">
        <v>155</v>
      </c>
      <c r="N126" s="42"/>
      <c r="O126" s="63" t="str">
        <f t="shared" si="45"/>
        <v>no match</v>
      </c>
      <c r="R126" s="41" t="s">
        <v>155</v>
      </c>
      <c r="S126" s="59" t="s">
        <v>155</v>
      </c>
      <c r="T126" s="63" t="str">
        <f t="shared" si="30"/>
        <v/>
      </c>
    </row>
    <row r="127" spans="2:20" ht="13.5" thickBot="1" x14ac:dyDescent="0.25">
      <c r="B127" s="144"/>
      <c r="C127" s="66" t="s">
        <v>159</v>
      </c>
      <c r="D127" s="67" t="e">
        <f t="shared" ca="1" si="39"/>
        <v>#REF!</v>
      </c>
      <c r="E127" s="45" t="e">
        <f t="shared" ca="1" si="40"/>
        <v>#REF!</v>
      </c>
      <c r="F127" s="67" t="e">
        <f t="shared" ca="1" si="41"/>
        <v>#REF!</v>
      </c>
      <c r="G127" s="67" t="e">
        <f t="shared" ca="1" si="38"/>
        <v>#REF!</v>
      </c>
      <c r="H127" s="67" t="e">
        <f t="shared" ca="1" si="42"/>
        <v>#REF!</v>
      </c>
      <c r="I127" s="67" t="e">
        <f t="shared" ca="1" si="43"/>
        <v>#REF!</v>
      </c>
      <c r="J127" s="67" t="e">
        <f t="shared" ca="1" si="44"/>
        <v>#REF!</v>
      </c>
      <c r="M127" s="41"/>
      <c r="N127" s="42"/>
      <c r="O127" s="63"/>
      <c r="R127" s="41"/>
      <c r="S127" s="59"/>
      <c r="T127" s="63"/>
    </row>
    <row r="128" spans="2:20" ht="16.5" thickBot="1" x14ac:dyDescent="0.3">
      <c r="B128" s="135" t="s">
        <v>189</v>
      </c>
      <c r="C128" s="136"/>
      <c r="D128" s="136"/>
      <c r="E128" s="136"/>
      <c r="F128" s="136"/>
      <c r="G128" s="136"/>
      <c r="H128" s="136"/>
      <c r="I128" s="136"/>
      <c r="J128" s="136"/>
      <c r="K128" s="49" t="str">
        <f>MID(B128,FIND("=",B128)+1,2)</f>
        <v>BE</v>
      </c>
      <c r="M128" s="41" t="s">
        <v>156</v>
      </c>
      <c r="N128" s="42"/>
      <c r="O128" s="63" t="str">
        <f>IF(OR(IF(ISNA(VLOOKUP(M128,$N$4:$N$130,1,)),FALSE,TRUE),IF(ISNA(VLOOKUP(N128,$M$4:$M$130,1,)),FALSE,TRUE))=FALSE, "no match","")</f>
        <v>no match</v>
      </c>
      <c r="R128" s="41" t="s">
        <v>156</v>
      </c>
      <c r="S128" s="59" t="s">
        <v>156</v>
      </c>
      <c r="T128" s="63" t="str">
        <f>IF(OR(IF(ISNA(VLOOKUP(R128,$S$4:$S$130,1,)),FALSE,TRUE),IF(ISNA(VLOOKUP(S128,$R$4:$R$130,1,)),FALSE,TRUE))=FALSE, "no match","")</f>
        <v/>
      </c>
    </row>
    <row r="129" spans="2:18" x14ac:dyDescent="0.2">
      <c r="B129" s="141" t="s">
        <v>11</v>
      </c>
      <c r="C129" s="43" t="s">
        <v>40</v>
      </c>
      <c r="D129" s="67"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45"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67"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67"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67"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67"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67"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60"/>
      <c r="N129" s="42" t="s">
        <v>112</v>
      </c>
      <c r="O129" s="63" t="str">
        <f>IF(OR(IF(ISNA(VLOOKUP(M129,$N$4:$N$130,1,)),FALSE,TRUE),IF(ISNA(VLOOKUP(N129,$M$4:$M$130,1,)),FALSE,TRUE))=FALSE, "no match","")</f>
        <v>no match</v>
      </c>
      <c r="R129" s="60"/>
    </row>
    <row r="130" spans="2:18" x14ac:dyDescent="0.2">
      <c r="B130" s="140"/>
      <c r="C130" s="41" t="s">
        <v>41</v>
      </c>
      <c r="D130" s="55" t="e">
        <f t="shared" ca="1" si="46"/>
        <v>#REF!</v>
      </c>
      <c r="E130" s="47" t="e">
        <f t="shared" ca="1" si="47"/>
        <v>#REF!</v>
      </c>
      <c r="F130" s="55" t="e">
        <f t="shared" ca="1" si="48"/>
        <v>#REF!</v>
      </c>
      <c r="G130" s="55" t="e">
        <f t="shared" ca="1" si="49"/>
        <v>#REF!</v>
      </c>
      <c r="H130" s="55" t="e">
        <f t="shared" ca="1" si="50"/>
        <v>#REF!</v>
      </c>
      <c r="I130" s="55" t="e">
        <f t="shared" ca="1" si="51"/>
        <v>#REF!</v>
      </c>
      <c r="J130" s="55" t="e">
        <f t="shared" ca="1" si="52"/>
        <v>#REF!</v>
      </c>
      <c r="M130" s="60"/>
      <c r="N130" s="42" t="s">
        <v>113</v>
      </c>
      <c r="O130" s="63" t="str">
        <f>IF(OR(IF(ISNA(VLOOKUP(M130,$N$4:$N$130,1,)),FALSE,TRUE),IF(ISNA(VLOOKUP(N130,$M$4:$M$130,1,)),FALSE,TRUE))=FALSE, "no match","")</f>
        <v>no match</v>
      </c>
      <c r="R130" s="60"/>
    </row>
    <row r="131" spans="2:18" x14ac:dyDescent="0.2">
      <c r="B131" s="140"/>
      <c r="C131" s="41" t="s">
        <v>52</v>
      </c>
      <c r="D131" s="55" t="e">
        <f t="shared" ca="1" si="46"/>
        <v>#REF!</v>
      </c>
      <c r="E131" s="47" t="e">
        <f t="shared" ca="1" si="47"/>
        <v>#REF!</v>
      </c>
      <c r="F131" s="55" t="e">
        <f t="shared" ca="1" si="48"/>
        <v>#REF!</v>
      </c>
      <c r="G131" s="55" t="e">
        <f t="shared" ca="1" si="49"/>
        <v>#REF!</v>
      </c>
      <c r="H131" s="55" t="e">
        <f t="shared" ca="1" si="50"/>
        <v>#REF!</v>
      </c>
      <c r="I131" s="55" t="e">
        <f t="shared" ca="1" si="51"/>
        <v>#REF!</v>
      </c>
      <c r="J131" s="55" t="e">
        <f t="shared" ca="1" si="52"/>
        <v>#REF!</v>
      </c>
    </row>
    <row r="132" spans="2:18" x14ac:dyDescent="0.2">
      <c r="B132" s="140"/>
      <c r="C132" s="69" t="s">
        <v>119</v>
      </c>
      <c r="D132" s="55" t="e">
        <f t="shared" ca="1" si="46"/>
        <v>#REF!</v>
      </c>
      <c r="E132" s="55" t="e">
        <f t="shared" ca="1" si="47"/>
        <v>#REF!</v>
      </c>
      <c r="F132" s="55" t="e">
        <f t="shared" ca="1" si="48"/>
        <v>#REF!</v>
      </c>
      <c r="G132" s="55" t="e">
        <f t="shared" ca="1" si="49"/>
        <v>#REF!</v>
      </c>
      <c r="H132" s="55" t="e">
        <f t="shared" ca="1" si="50"/>
        <v>#REF!</v>
      </c>
      <c r="I132" s="55" t="e">
        <f t="shared" ca="1" si="51"/>
        <v>#REF!</v>
      </c>
      <c r="J132" s="55" t="e">
        <f t="shared" ca="1" si="52"/>
        <v>#REF!</v>
      </c>
    </row>
    <row r="133" spans="2:18" x14ac:dyDescent="0.2">
      <c r="B133" s="140"/>
      <c r="C133" s="41" t="s">
        <v>42</v>
      </c>
      <c r="D133" s="55" t="e">
        <f t="shared" ca="1" si="46"/>
        <v>#REF!</v>
      </c>
      <c r="E133" s="47" t="e">
        <f t="shared" ca="1" si="47"/>
        <v>#REF!</v>
      </c>
      <c r="F133" s="55" t="e">
        <f t="shared" ca="1" si="48"/>
        <v>#REF!</v>
      </c>
      <c r="G133" s="55" t="e">
        <f t="shared" ca="1" si="49"/>
        <v>#REF!</v>
      </c>
      <c r="H133" s="55" t="e">
        <f t="shared" ca="1" si="50"/>
        <v>#REF!</v>
      </c>
      <c r="I133" s="55" t="e">
        <f t="shared" ca="1" si="51"/>
        <v>#REF!</v>
      </c>
      <c r="J133" s="55" t="e">
        <f t="shared" ca="1" si="52"/>
        <v>#REF!</v>
      </c>
    </row>
    <row r="134" spans="2:18" x14ac:dyDescent="0.2">
      <c r="B134" s="140"/>
      <c r="C134" s="41" t="s">
        <v>43</v>
      </c>
      <c r="D134" s="55" t="e">
        <f t="shared" ca="1" si="46"/>
        <v>#REF!</v>
      </c>
      <c r="E134" s="47" t="e">
        <f t="shared" ca="1" si="47"/>
        <v>#REF!</v>
      </c>
      <c r="F134" s="55" t="e">
        <f t="shared" ca="1" si="48"/>
        <v>#REF!</v>
      </c>
      <c r="G134" s="55" t="e">
        <f t="shared" ca="1" si="49"/>
        <v>#REF!</v>
      </c>
      <c r="H134" s="55" t="e">
        <f t="shared" ca="1" si="50"/>
        <v>#REF!</v>
      </c>
      <c r="I134" s="55" t="e">
        <f t="shared" ca="1" si="51"/>
        <v>#REF!</v>
      </c>
      <c r="J134" s="55" t="e">
        <f t="shared" ca="1" si="52"/>
        <v>#REF!</v>
      </c>
    </row>
    <row r="135" spans="2:18" x14ac:dyDescent="0.2">
      <c r="B135" s="140"/>
      <c r="C135" s="41" t="s">
        <v>44</v>
      </c>
      <c r="D135" s="55" t="e">
        <f t="shared" ca="1" si="46"/>
        <v>#REF!</v>
      </c>
      <c r="E135" s="47" t="e">
        <f t="shared" ca="1" si="47"/>
        <v>#REF!</v>
      </c>
      <c r="F135" s="55" t="e">
        <f t="shared" ca="1" si="48"/>
        <v>#REF!</v>
      </c>
      <c r="G135" s="55" t="e">
        <f t="shared" ca="1" si="49"/>
        <v>#REF!</v>
      </c>
      <c r="H135" s="55" t="e">
        <f t="shared" ca="1" si="50"/>
        <v>#REF!</v>
      </c>
      <c r="I135" s="55" t="e">
        <f t="shared" ca="1" si="51"/>
        <v>#REF!</v>
      </c>
      <c r="J135" s="55" t="e">
        <f t="shared" ca="1" si="52"/>
        <v>#REF!</v>
      </c>
    </row>
    <row r="136" spans="2:18" x14ac:dyDescent="0.2">
      <c r="B136" s="140"/>
      <c r="C136" s="41" t="s">
        <v>111</v>
      </c>
      <c r="D136" s="55" t="e">
        <f t="shared" ca="1" si="46"/>
        <v>#REF!</v>
      </c>
      <c r="E136" s="47" t="e">
        <f t="shared" ca="1" si="47"/>
        <v>#REF!</v>
      </c>
      <c r="F136" s="55" t="e">
        <f t="shared" ca="1" si="48"/>
        <v>#REF!</v>
      </c>
      <c r="G136" s="55" t="e">
        <f t="shared" ca="1" si="49"/>
        <v>#REF!</v>
      </c>
      <c r="H136" s="55" t="e">
        <f t="shared" ca="1" si="50"/>
        <v>#REF!</v>
      </c>
      <c r="I136" s="55" t="e">
        <f t="shared" ca="1" si="51"/>
        <v>#REF!</v>
      </c>
      <c r="J136" s="55" t="e">
        <f t="shared" ca="1" si="52"/>
        <v>#REF!</v>
      </c>
    </row>
    <row r="137" spans="2:18" x14ac:dyDescent="0.2">
      <c r="B137" s="140"/>
      <c r="C137" s="41" t="s">
        <v>45</v>
      </c>
      <c r="D137" s="55" t="e">
        <f t="shared" ca="1" si="46"/>
        <v>#REF!</v>
      </c>
      <c r="E137" s="47" t="e">
        <f t="shared" ca="1" si="47"/>
        <v>#REF!</v>
      </c>
      <c r="F137" s="55" t="e">
        <f t="shared" ca="1" si="48"/>
        <v>#REF!</v>
      </c>
      <c r="G137" s="55" t="e">
        <f t="shared" ca="1" si="49"/>
        <v>#REF!</v>
      </c>
      <c r="H137" s="55" t="e">
        <f t="shared" ca="1" si="50"/>
        <v>#REF!</v>
      </c>
      <c r="I137" s="55" t="e">
        <f t="shared" ca="1" si="51"/>
        <v>#REF!</v>
      </c>
      <c r="J137" s="55" t="e">
        <f t="shared" ca="1" si="52"/>
        <v>#REF!</v>
      </c>
    </row>
    <row r="138" spans="2:18" x14ac:dyDescent="0.2">
      <c r="B138" s="140"/>
      <c r="C138" s="41" t="s">
        <v>46</v>
      </c>
      <c r="D138" s="55" t="e">
        <f t="shared" ca="1" si="46"/>
        <v>#REF!</v>
      </c>
      <c r="E138" s="47" t="e">
        <f t="shared" ca="1" si="47"/>
        <v>#REF!</v>
      </c>
      <c r="F138" s="55" t="e">
        <f t="shared" ca="1" si="48"/>
        <v>#REF!</v>
      </c>
      <c r="G138" s="55" t="e">
        <f t="shared" ca="1" si="49"/>
        <v>#REF!</v>
      </c>
      <c r="H138" s="55" t="e">
        <f t="shared" ca="1" si="50"/>
        <v>#REF!</v>
      </c>
      <c r="I138" s="55" t="e">
        <f t="shared" ca="1" si="51"/>
        <v>#REF!</v>
      </c>
      <c r="J138" s="55" t="e">
        <f t="shared" ca="1" si="52"/>
        <v>#REF!</v>
      </c>
    </row>
    <row r="139" spans="2:18" x14ac:dyDescent="0.2">
      <c r="B139" s="140"/>
      <c r="C139" s="41" t="s">
        <v>47</v>
      </c>
      <c r="D139" s="55" t="e">
        <f t="shared" ca="1" si="46"/>
        <v>#REF!</v>
      </c>
      <c r="E139" s="47" t="e">
        <f t="shared" ca="1" si="47"/>
        <v>#REF!</v>
      </c>
      <c r="F139" s="55" t="e">
        <f t="shared" ca="1" si="48"/>
        <v>#REF!</v>
      </c>
      <c r="G139" s="55" t="e">
        <f t="shared" ca="1" si="49"/>
        <v>#REF!</v>
      </c>
      <c r="H139" s="55" t="e">
        <f t="shared" ca="1" si="50"/>
        <v>#REF!</v>
      </c>
      <c r="I139" s="55" t="e">
        <f t="shared" ca="1" si="51"/>
        <v>#REF!</v>
      </c>
      <c r="J139" s="55" t="e">
        <f t="shared" ca="1" si="52"/>
        <v>#REF!</v>
      </c>
    </row>
    <row r="140" spans="2:18" x14ac:dyDescent="0.2">
      <c r="B140" s="140"/>
      <c r="C140" s="41" t="s">
        <v>48</v>
      </c>
      <c r="D140" s="55" t="e">
        <f t="shared" ca="1" si="46"/>
        <v>#REF!</v>
      </c>
      <c r="E140" s="47" t="e">
        <f t="shared" ca="1" si="47"/>
        <v>#REF!</v>
      </c>
      <c r="F140" s="55" t="e">
        <f t="shared" ca="1" si="48"/>
        <v>#REF!</v>
      </c>
      <c r="G140" s="55" t="e">
        <f t="shared" ca="1" si="49"/>
        <v>#REF!</v>
      </c>
      <c r="H140" s="55" t="e">
        <f t="shared" ca="1" si="50"/>
        <v>#REF!</v>
      </c>
      <c r="I140" s="55" t="e">
        <f t="shared" ca="1" si="51"/>
        <v>#REF!</v>
      </c>
      <c r="J140" s="55" t="e">
        <f t="shared" ca="1" si="52"/>
        <v>#REF!</v>
      </c>
    </row>
    <row r="141" spans="2:18" x14ac:dyDescent="0.2">
      <c r="B141" s="140"/>
      <c r="C141" s="41" t="s">
        <v>53</v>
      </c>
      <c r="D141" s="55" t="e">
        <f t="shared" ca="1" si="46"/>
        <v>#REF!</v>
      </c>
      <c r="E141" s="47" t="e">
        <f t="shared" ca="1" si="47"/>
        <v>#REF!</v>
      </c>
      <c r="F141" s="55" t="e">
        <f t="shared" ca="1" si="48"/>
        <v>#REF!</v>
      </c>
      <c r="G141" s="55" t="e">
        <f t="shared" ca="1" si="49"/>
        <v>#REF!</v>
      </c>
      <c r="H141" s="55" t="e">
        <f t="shared" ca="1" si="50"/>
        <v>#REF!</v>
      </c>
      <c r="I141" s="55" t="e">
        <f t="shared" ca="1" si="51"/>
        <v>#REF!</v>
      </c>
      <c r="J141" s="55" t="e">
        <f t="shared" ca="1" si="52"/>
        <v>#REF!</v>
      </c>
    </row>
    <row r="142" spans="2:18" x14ac:dyDescent="0.2">
      <c r="B142" s="137" t="s">
        <v>132</v>
      </c>
      <c r="C142" s="42" t="s">
        <v>54</v>
      </c>
      <c r="D142" s="46" t="e">
        <f t="shared" ca="1" si="46"/>
        <v>#REF!</v>
      </c>
      <c r="E142" s="46" t="e">
        <f t="shared" ca="1" si="47"/>
        <v>#REF!</v>
      </c>
      <c r="F142" s="46" t="e">
        <f t="shared" ca="1" si="48"/>
        <v>#REF!</v>
      </c>
      <c r="G142" s="46" t="e">
        <f t="shared" ca="1" si="49"/>
        <v>#REF!</v>
      </c>
      <c r="H142" s="46" t="e">
        <f t="shared" ca="1" si="50"/>
        <v>#REF!</v>
      </c>
      <c r="I142" s="46" t="e">
        <f t="shared" ca="1" si="51"/>
        <v>#REF!</v>
      </c>
      <c r="J142" s="46" t="e">
        <f t="shared" ca="1" si="52"/>
        <v>#REF!</v>
      </c>
    </row>
    <row r="143" spans="2:18" x14ac:dyDescent="0.2">
      <c r="B143" s="137"/>
      <c r="C143" s="42" t="s">
        <v>55</v>
      </c>
      <c r="D143" s="46" t="e">
        <f t="shared" ca="1" si="46"/>
        <v>#REF!</v>
      </c>
      <c r="E143" s="46" t="e">
        <f t="shared" ca="1" si="47"/>
        <v>#REF!</v>
      </c>
      <c r="F143" s="46" t="e">
        <f t="shared" ca="1" si="48"/>
        <v>#REF!</v>
      </c>
      <c r="G143" s="46" t="e">
        <f t="shared" ca="1" si="49"/>
        <v>#REF!</v>
      </c>
      <c r="H143" s="46" t="e">
        <f t="shared" ca="1" si="50"/>
        <v>#REF!</v>
      </c>
      <c r="I143" s="46" t="e">
        <f t="shared" ca="1" si="51"/>
        <v>#REF!</v>
      </c>
      <c r="J143" s="46" t="e">
        <f t="shared" ca="1" si="52"/>
        <v>#REF!</v>
      </c>
    </row>
    <row r="144" spans="2:18" x14ac:dyDescent="0.2">
      <c r="B144" s="137"/>
      <c r="C144" s="42" t="s">
        <v>56</v>
      </c>
      <c r="D144" s="46" t="e">
        <f t="shared" ca="1" si="46"/>
        <v>#REF!</v>
      </c>
      <c r="E144" s="46" t="e">
        <f t="shared" ca="1" si="47"/>
        <v>#REF!</v>
      </c>
      <c r="F144" s="86" t="e">
        <f t="shared" ca="1" si="48"/>
        <v>#REF!</v>
      </c>
      <c r="G144" s="86" t="e">
        <f t="shared" ca="1" si="49"/>
        <v>#REF!</v>
      </c>
      <c r="H144" s="46" t="e">
        <f t="shared" ca="1" si="50"/>
        <v>#REF!</v>
      </c>
      <c r="I144" s="46" t="e">
        <f t="shared" ca="1" si="51"/>
        <v>#REF!</v>
      </c>
      <c r="J144" s="46" t="e">
        <f t="shared" ca="1" si="52"/>
        <v>#REF!</v>
      </c>
    </row>
    <row r="145" spans="2:11" x14ac:dyDescent="0.2">
      <c r="B145" s="137"/>
      <c r="C145" s="42" t="s">
        <v>57</v>
      </c>
      <c r="D145" s="46" t="e">
        <f t="shared" ca="1" si="46"/>
        <v>#REF!</v>
      </c>
      <c r="E145" s="46" t="e">
        <f t="shared" ca="1" si="47"/>
        <v>#REF!</v>
      </c>
      <c r="F145" s="86" t="e">
        <f t="shared" ca="1" si="48"/>
        <v>#REF!</v>
      </c>
      <c r="G145" s="86" t="e">
        <f t="shared" ca="1" si="49"/>
        <v>#REF!</v>
      </c>
      <c r="H145" s="46" t="e">
        <f t="shared" ca="1" si="50"/>
        <v>#REF!</v>
      </c>
      <c r="I145" s="46" t="e">
        <f t="shared" ca="1" si="51"/>
        <v>#REF!</v>
      </c>
      <c r="J145" s="46" t="e">
        <f t="shared" ca="1" si="52"/>
        <v>#REF!</v>
      </c>
    </row>
    <row r="146" spans="2:11" x14ac:dyDescent="0.2">
      <c r="B146" s="137"/>
      <c r="C146" s="42" t="s">
        <v>58</v>
      </c>
      <c r="D146" s="46" t="e">
        <f t="shared" ca="1" si="46"/>
        <v>#REF!</v>
      </c>
      <c r="E146" s="46" t="e">
        <f t="shared" ca="1" si="47"/>
        <v>#REF!</v>
      </c>
      <c r="F146" s="86" t="e">
        <f t="shared" ca="1" si="48"/>
        <v>#REF!</v>
      </c>
      <c r="G146" s="86" t="e">
        <f t="shared" ca="1" si="49"/>
        <v>#REF!</v>
      </c>
      <c r="H146" s="46" t="e">
        <f t="shared" ca="1" si="50"/>
        <v>#REF!</v>
      </c>
      <c r="I146" s="46" t="e">
        <f t="shared" ca="1" si="51"/>
        <v>#REF!</v>
      </c>
      <c r="J146" s="46" t="e">
        <f t="shared" ca="1" si="52"/>
        <v>#REF!</v>
      </c>
    </row>
    <row r="147" spans="2:11" x14ac:dyDescent="0.2">
      <c r="B147" s="137"/>
      <c r="C147" s="42" t="s">
        <v>0</v>
      </c>
      <c r="D147" s="46" t="e">
        <f t="shared" ca="1" si="46"/>
        <v>#REF!</v>
      </c>
      <c r="E147" s="46" t="e">
        <f t="shared" ca="1" si="47"/>
        <v>#REF!</v>
      </c>
      <c r="F147" s="86" t="e">
        <f t="shared" ca="1" si="48"/>
        <v>#REF!</v>
      </c>
      <c r="G147" s="86" t="e">
        <f t="shared" ca="1" si="49"/>
        <v>#REF!</v>
      </c>
      <c r="H147" s="46" t="e">
        <f t="shared" ca="1" si="50"/>
        <v>#REF!</v>
      </c>
      <c r="I147" s="46" t="e">
        <f t="shared" ca="1" si="51"/>
        <v>#REF!</v>
      </c>
      <c r="J147" s="46" t="e">
        <f t="shared" ca="1" si="52"/>
        <v>#REF!</v>
      </c>
    </row>
    <row r="148" spans="2:11" x14ac:dyDescent="0.2">
      <c r="B148" s="142" t="s">
        <v>106</v>
      </c>
      <c r="C148" s="69" t="s">
        <v>133</v>
      </c>
      <c r="D148" s="70" t="s">
        <v>174</v>
      </c>
      <c r="E148" s="70" t="s">
        <v>175</v>
      </c>
      <c r="F148" s="85"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85" t="e">
        <f t="shared" ca="1" si="49"/>
        <v>#REF!</v>
      </c>
      <c r="H148" s="55"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55"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55"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143"/>
      <c r="C149" s="69" t="s">
        <v>134</v>
      </c>
      <c r="D149" s="70" t="s">
        <v>176</v>
      </c>
      <c r="E149" s="70" t="s">
        <v>177</v>
      </c>
      <c r="F149" s="85"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85" t="e">
        <f t="shared" ca="1" si="49"/>
        <v>#REF!</v>
      </c>
      <c r="H149" s="55"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55"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55"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143"/>
      <c r="C150" s="41" t="s">
        <v>59</v>
      </c>
      <c r="D150" s="55"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47"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55"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55" t="e">
        <f t="shared" ca="1" si="49"/>
        <v>#REF!</v>
      </c>
      <c r="H150" s="55"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55"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55"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143"/>
      <c r="C151" s="69" t="s">
        <v>135</v>
      </c>
      <c r="D151" s="70" t="s">
        <v>178</v>
      </c>
      <c r="E151" s="70" t="s">
        <v>179</v>
      </c>
      <c r="F151" s="85"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85" t="e">
        <f t="shared" ca="1" si="49"/>
        <v>#REF!</v>
      </c>
      <c r="H151" s="55"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55"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55"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143"/>
      <c r="C152" s="41" t="s">
        <v>60</v>
      </c>
      <c r="D152" s="55"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47"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55"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55" t="e">
        <f t="shared" ca="1" si="49"/>
        <v>#REF!</v>
      </c>
      <c r="H152" s="55"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55"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55"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143"/>
      <c r="C153" s="41" t="s">
        <v>61</v>
      </c>
      <c r="D153" s="55"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47" t="e">
        <f t="shared" ca="1" si="53"/>
        <v>#REF!</v>
      </c>
      <c r="F153" s="55" t="e">
        <f t="shared" ca="1" si="54"/>
        <v>#REF!</v>
      </c>
      <c r="G153" s="55" t="e">
        <f t="shared" ca="1" si="49"/>
        <v>#REF!</v>
      </c>
      <c r="H153" s="55" t="e">
        <f t="shared" ca="1" si="55"/>
        <v>#REF!</v>
      </c>
      <c r="I153" s="55" t="e">
        <f t="shared" ca="1" si="56"/>
        <v>#REF!</v>
      </c>
      <c r="J153" s="55" t="e">
        <f t="shared" ca="1" si="57"/>
        <v>#REF!</v>
      </c>
    </row>
    <row r="154" spans="2:11" x14ac:dyDescent="0.2">
      <c r="B154" s="141"/>
      <c r="C154" s="41" t="s">
        <v>180</v>
      </c>
      <c r="D154" s="95" t="s">
        <v>181</v>
      </c>
      <c r="E154" s="47" t="e">
        <f t="shared" ca="1" si="53"/>
        <v>#REF!</v>
      </c>
      <c r="F154" s="55" t="e">
        <f t="shared" ca="1" si="54"/>
        <v>#REF!</v>
      </c>
      <c r="G154" s="55" t="e">
        <f t="shared" ca="1" si="49"/>
        <v>#REF!</v>
      </c>
      <c r="H154" s="55" t="e">
        <f t="shared" ca="1" si="55"/>
        <v>#REF!</v>
      </c>
      <c r="I154" s="55" t="e">
        <f t="shared" ca="1" si="56"/>
        <v>#REF!</v>
      </c>
      <c r="J154" s="55" t="e">
        <f t="shared" ca="1" si="57"/>
        <v>#REF!</v>
      </c>
    </row>
    <row r="155" spans="2:11" x14ac:dyDescent="0.2">
      <c r="B155" s="137" t="s">
        <v>140</v>
      </c>
      <c r="C155" s="42" t="s">
        <v>63</v>
      </c>
      <c r="D155" s="86"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46" t="e">
        <f t="shared" ca="1" si="53"/>
        <v>#REF!</v>
      </c>
      <c r="F155" s="86" t="e">
        <f t="shared" ca="1" si="54"/>
        <v>#REF!</v>
      </c>
      <c r="G155" s="86" t="e">
        <f t="shared" ca="1" si="49"/>
        <v>#REF!</v>
      </c>
      <c r="H155" s="42" t="e">
        <f t="shared" ca="1" si="55"/>
        <v>#REF!</v>
      </c>
      <c r="I155" s="42" t="e">
        <f t="shared" ca="1" si="56"/>
        <v>#REF!</v>
      </c>
      <c r="J155" s="42" t="e">
        <f t="shared" ca="1" si="57"/>
        <v>#REF!</v>
      </c>
    </row>
    <row r="156" spans="2:11" x14ac:dyDescent="0.2">
      <c r="B156" s="137"/>
      <c r="C156" s="42" t="s">
        <v>90</v>
      </c>
      <c r="D156" s="86" t="e">
        <f t="shared" ca="1" si="58"/>
        <v>#REF!</v>
      </c>
      <c r="E156" s="46" t="e">
        <f t="shared" ca="1" si="53"/>
        <v>#REF!</v>
      </c>
      <c r="F156" s="86" t="e">
        <f t="shared" ca="1" si="54"/>
        <v>#REF!</v>
      </c>
      <c r="G156" s="86" t="e">
        <f t="shared" ca="1" si="49"/>
        <v>#REF!</v>
      </c>
      <c r="H156" s="42" t="e">
        <f t="shared" ca="1" si="55"/>
        <v>#REF!</v>
      </c>
      <c r="I156" s="42" t="e">
        <f t="shared" ca="1" si="56"/>
        <v>#REF!</v>
      </c>
      <c r="J156" s="42" t="e">
        <f t="shared" ca="1" si="57"/>
        <v>#REF!</v>
      </c>
    </row>
    <row r="157" spans="2:11" x14ac:dyDescent="0.2">
      <c r="B157" s="137"/>
      <c r="C157" s="42" t="s">
        <v>65</v>
      </c>
      <c r="D157" s="86" t="e">
        <f t="shared" ca="1" si="58"/>
        <v>#REF!</v>
      </c>
      <c r="E157" s="46" t="e">
        <f t="shared" ca="1" si="53"/>
        <v>#REF!</v>
      </c>
      <c r="F157" s="86" t="e">
        <f t="shared" ca="1" si="54"/>
        <v>#REF!</v>
      </c>
      <c r="G157" s="86" t="e">
        <f t="shared" ca="1" si="49"/>
        <v>#REF!</v>
      </c>
      <c r="H157" s="42" t="e">
        <f t="shared" ca="1" si="55"/>
        <v>#REF!</v>
      </c>
      <c r="I157" s="42" t="e">
        <f t="shared" ca="1" si="56"/>
        <v>#REF!</v>
      </c>
      <c r="J157" s="42" t="e">
        <f t="shared" ca="1" si="57"/>
        <v>#REF!</v>
      </c>
      <c r="K157" s="18"/>
    </row>
    <row r="158" spans="2:11" x14ac:dyDescent="0.2">
      <c r="B158" s="137"/>
      <c r="C158" s="42" t="s">
        <v>66</v>
      </c>
      <c r="D158" s="86" t="e">
        <f t="shared" ca="1" si="58"/>
        <v>#REF!</v>
      </c>
      <c r="E158" s="46" t="e">
        <f t="shared" ca="1" si="53"/>
        <v>#REF!</v>
      </c>
      <c r="F158" s="86" t="e">
        <f t="shared" ca="1" si="54"/>
        <v>#REF!</v>
      </c>
      <c r="G158" s="86" t="e">
        <f t="shared" ca="1" si="49"/>
        <v>#REF!</v>
      </c>
      <c r="H158" s="42" t="e">
        <f t="shared" ca="1" si="55"/>
        <v>#REF!</v>
      </c>
      <c r="I158" s="42" t="e">
        <f t="shared" ca="1" si="56"/>
        <v>#REF!</v>
      </c>
      <c r="J158" s="42" t="e">
        <f t="shared" ca="1" si="57"/>
        <v>#REF!</v>
      </c>
      <c r="K158" s="18"/>
    </row>
    <row r="159" spans="2:11" x14ac:dyDescent="0.2">
      <c r="B159" s="137"/>
      <c r="C159" s="42" t="s">
        <v>68</v>
      </c>
      <c r="D159" s="86" t="e">
        <f t="shared" ca="1" si="58"/>
        <v>#REF!</v>
      </c>
      <c r="E159" s="46" t="e">
        <f t="shared" ca="1" si="53"/>
        <v>#REF!</v>
      </c>
      <c r="F159" s="86" t="e">
        <f t="shared" ca="1" si="54"/>
        <v>#REF!</v>
      </c>
      <c r="G159" s="86" t="e">
        <f t="shared" ca="1" si="49"/>
        <v>#REF!</v>
      </c>
      <c r="H159" s="42" t="e">
        <f t="shared" ca="1" si="55"/>
        <v>#REF!</v>
      </c>
      <c r="I159" s="42" t="e">
        <f t="shared" ca="1" si="56"/>
        <v>#REF!</v>
      </c>
      <c r="J159" s="42" t="e">
        <f t="shared" ca="1" si="57"/>
        <v>#REF!</v>
      </c>
      <c r="K159" s="18"/>
    </row>
    <row r="160" spans="2:11" x14ac:dyDescent="0.2">
      <c r="B160" s="137"/>
      <c r="C160" s="42" t="s">
        <v>69</v>
      </c>
      <c r="D160" s="86" t="e">
        <f t="shared" ca="1" si="58"/>
        <v>#REF!</v>
      </c>
      <c r="E160" s="46" t="e">
        <f t="shared" ca="1" si="53"/>
        <v>#REF!</v>
      </c>
      <c r="F160" s="86" t="e">
        <f t="shared" ca="1" si="54"/>
        <v>#REF!</v>
      </c>
      <c r="G160" s="86" t="e">
        <f t="shared" ca="1" si="49"/>
        <v>#REF!</v>
      </c>
      <c r="H160" s="42" t="e">
        <f t="shared" ca="1" si="55"/>
        <v>#REF!</v>
      </c>
      <c r="I160" s="42" t="e">
        <f t="shared" ca="1" si="56"/>
        <v>#REF!</v>
      </c>
      <c r="J160" s="42" t="e">
        <f t="shared" ca="1" si="57"/>
        <v>#REF!</v>
      </c>
      <c r="K160" s="50"/>
    </row>
    <row r="161" spans="2:11" x14ac:dyDescent="0.2">
      <c r="B161" s="137"/>
      <c r="C161" s="42" t="s">
        <v>70</v>
      </c>
      <c r="D161" s="86" t="e">
        <f t="shared" ca="1" si="58"/>
        <v>#REF!</v>
      </c>
      <c r="E161" s="46" t="e">
        <f t="shared" ca="1" si="53"/>
        <v>#REF!</v>
      </c>
      <c r="F161" s="86" t="e">
        <f t="shared" ca="1" si="54"/>
        <v>#REF!</v>
      </c>
      <c r="G161" s="86" t="e">
        <f t="shared" ca="1" si="49"/>
        <v>#REF!</v>
      </c>
      <c r="H161" s="42" t="e">
        <f t="shared" ca="1" si="55"/>
        <v>#REF!</v>
      </c>
      <c r="I161" s="42" t="e">
        <f t="shared" ca="1" si="56"/>
        <v>#REF!</v>
      </c>
      <c r="J161" s="42" t="e">
        <f t="shared" ca="1" si="57"/>
        <v>#REF!</v>
      </c>
      <c r="K161" s="50"/>
    </row>
    <row r="162" spans="2:11" x14ac:dyDescent="0.2">
      <c r="B162" s="137"/>
      <c r="C162" s="42" t="s">
        <v>71</v>
      </c>
      <c r="D162" s="86" t="e">
        <f t="shared" ca="1" si="58"/>
        <v>#REF!</v>
      </c>
      <c r="E162" s="46" t="e">
        <f t="shared" ca="1" si="53"/>
        <v>#REF!</v>
      </c>
      <c r="F162" s="86" t="e">
        <f t="shared" ca="1" si="54"/>
        <v>#REF!</v>
      </c>
      <c r="G162" s="86" t="e">
        <f t="shared" ca="1" si="49"/>
        <v>#REF!</v>
      </c>
      <c r="H162" s="42" t="e">
        <f t="shared" ca="1" si="55"/>
        <v>#REF!</v>
      </c>
      <c r="I162" s="42" t="e">
        <f t="shared" ca="1" si="56"/>
        <v>#REF!</v>
      </c>
      <c r="J162" s="42" t="e">
        <f t="shared" ca="1" si="57"/>
        <v>#REF!</v>
      </c>
      <c r="K162" s="50"/>
    </row>
    <row r="163" spans="2:11" x14ac:dyDescent="0.2">
      <c r="B163" s="137"/>
      <c r="C163" s="42" t="s">
        <v>71</v>
      </c>
      <c r="D163" s="86" t="e">
        <f t="shared" ca="1" si="58"/>
        <v>#REF!</v>
      </c>
      <c r="E163" s="46" t="e">
        <f t="shared" ca="1" si="53"/>
        <v>#REF!</v>
      </c>
      <c r="F163" s="86" t="e">
        <f t="shared" ca="1" si="54"/>
        <v>#REF!</v>
      </c>
      <c r="G163" s="86" t="e">
        <f t="shared" ca="1" si="49"/>
        <v>#REF!</v>
      </c>
      <c r="H163" s="42" t="e">
        <f t="shared" ca="1" si="55"/>
        <v>#REF!</v>
      </c>
      <c r="I163" s="42" t="e">
        <f t="shared" ca="1" si="56"/>
        <v>#REF!</v>
      </c>
      <c r="J163" s="42" t="e">
        <f t="shared" ca="1" si="57"/>
        <v>#REF!</v>
      </c>
      <c r="K163" s="50"/>
    </row>
    <row r="164" spans="2:11" x14ac:dyDescent="0.2">
      <c r="B164" s="137"/>
      <c r="C164" s="42" t="s">
        <v>74</v>
      </c>
      <c r="D164" s="86" t="e">
        <f t="shared" ca="1" si="58"/>
        <v>#REF!</v>
      </c>
      <c r="E164" s="46" t="e">
        <f t="shared" ca="1" si="53"/>
        <v>#REF!</v>
      </c>
      <c r="F164" s="86" t="e">
        <f t="shared" ca="1" si="54"/>
        <v>#REF!</v>
      </c>
      <c r="G164" s="86" t="e">
        <f t="shared" ca="1" si="49"/>
        <v>#REF!</v>
      </c>
      <c r="H164" s="42" t="e">
        <f t="shared" ca="1" si="55"/>
        <v>#REF!</v>
      </c>
      <c r="I164" s="42" t="e">
        <f t="shared" ca="1" si="56"/>
        <v>#REF!</v>
      </c>
      <c r="J164" s="42" t="e">
        <f t="shared" ca="1" si="57"/>
        <v>#REF!</v>
      </c>
      <c r="K164" s="50"/>
    </row>
    <row r="165" spans="2:11" x14ac:dyDescent="0.2">
      <c r="B165" s="139" t="s">
        <v>114</v>
      </c>
      <c r="C165" s="41" t="s">
        <v>112</v>
      </c>
      <c r="D165" s="55" t="e">
        <f t="shared" ca="1" si="58"/>
        <v>#REF!</v>
      </c>
      <c r="E165" s="47" t="e">
        <f t="shared" ca="1" si="53"/>
        <v>#REF!</v>
      </c>
      <c r="F165" s="55" t="e">
        <f t="shared" ca="1" si="54"/>
        <v>#REF!</v>
      </c>
      <c r="G165" s="55" t="e">
        <f t="shared" ca="1" si="49"/>
        <v>#REF!</v>
      </c>
      <c r="H165" s="55" t="e">
        <f t="shared" ca="1" si="55"/>
        <v>#REF!</v>
      </c>
      <c r="I165" s="55" t="e">
        <f t="shared" ca="1" si="56"/>
        <v>#REF!</v>
      </c>
      <c r="J165" s="55" t="e">
        <f t="shared" ca="1" si="57"/>
        <v>#REF!</v>
      </c>
      <c r="K165" s="51"/>
    </row>
    <row r="166" spans="2:11" x14ac:dyDescent="0.2">
      <c r="B166" s="139"/>
      <c r="C166" s="41" t="s">
        <v>113</v>
      </c>
      <c r="D166" s="55" t="e">
        <f t="shared" ca="1" si="58"/>
        <v>#REF!</v>
      </c>
      <c r="E166" s="47" t="e">
        <f t="shared" ca="1" si="53"/>
        <v>#REF!</v>
      </c>
      <c r="F166" s="55" t="e">
        <f t="shared" ca="1" si="54"/>
        <v>#REF!</v>
      </c>
      <c r="G166" s="55" t="e">
        <f t="shared" ca="1" si="49"/>
        <v>#REF!</v>
      </c>
      <c r="H166" s="55" t="e">
        <f t="shared" ca="1" si="55"/>
        <v>#REF!</v>
      </c>
      <c r="I166" s="55" t="e">
        <f t="shared" ca="1" si="56"/>
        <v>#REF!</v>
      </c>
      <c r="J166" s="55" t="e">
        <f t="shared" ca="1" si="57"/>
        <v>#REF!</v>
      </c>
      <c r="K166" s="51"/>
    </row>
    <row r="167" spans="2:11" x14ac:dyDescent="0.2">
      <c r="B167" s="137" t="s">
        <v>1</v>
      </c>
      <c r="C167" s="42" t="s">
        <v>2</v>
      </c>
      <c r="D167" s="46" t="e">
        <f t="shared" ca="1" si="58"/>
        <v>#REF!</v>
      </c>
      <c r="E167" s="46" t="e">
        <f t="shared" ca="1" si="53"/>
        <v>#REF!</v>
      </c>
      <c r="F167" s="46" t="e">
        <f t="shared" ca="1" si="54"/>
        <v>#REF!</v>
      </c>
      <c r="G167" s="46" t="e">
        <f t="shared" ca="1" si="49"/>
        <v>#REF!</v>
      </c>
      <c r="H167" s="42" t="e">
        <f t="shared" ca="1" si="55"/>
        <v>#REF!</v>
      </c>
      <c r="I167" s="42" t="e">
        <f t="shared" ca="1" si="56"/>
        <v>#REF!</v>
      </c>
      <c r="J167" s="42" t="e">
        <f t="shared" ca="1" si="57"/>
        <v>#REF!</v>
      </c>
      <c r="K167" s="18"/>
    </row>
    <row r="168" spans="2:11" x14ac:dyDescent="0.2">
      <c r="B168" s="137"/>
      <c r="C168" s="42" t="s">
        <v>3</v>
      </c>
      <c r="D168" s="46" t="e">
        <f t="shared" ca="1" si="58"/>
        <v>#REF!</v>
      </c>
      <c r="E168" s="46" t="e">
        <f t="shared" ca="1" si="53"/>
        <v>#REF!</v>
      </c>
      <c r="F168" s="46" t="e">
        <f t="shared" ca="1" si="54"/>
        <v>#REF!</v>
      </c>
      <c r="G168" s="46" t="e">
        <f t="shared" ca="1" si="49"/>
        <v>#REF!</v>
      </c>
      <c r="H168" s="42" t="e">
        <f t="shared" ca="1" si="55"/>
        <v>#REF!</v>
      </c>
      <c r="I168" s="42" t="e">
        <f t="shared" ca="1" si="56"/>
        <v>#REF!</v>
      </c>
      <c r="J168" s="42" t="e">
        <f t="shared" ca="1" si="57"/>
        <v>#REF!</v>
      </c>
    </row>
    <row r="169" spans="2:11" ht="13.5" thickBot="1" x14ac:dyDescent="0.25">
      <c r="B169" s="138"/>
      <c r="C169" s="56" t="s">
        <v>4</v>
      </c>
      <c r="D169" s="87" t="e">
        <f t="shared" ca="1" si="58"/>
        <v>#REF!</v>
      </c>
      <c r="E169" s="46" t="e">
        <f t="shared" ca="1" si="53"/>
        <v>#REF!</v>
      </c>
      <c r="F169" s="87" t="e">
        <f t="shared" ca="1" si="54"/>
        <v>#REF!</v>
      </c>
      <c r="G169" s="87" t="e">
        <f t="shared" ca="1" si="49"/>
        <v>#REF!</v>
      </c>
      <c r="H169" s="56" t="e">
        <f t="shared" ca="1" si="55"/>
        <v>#REF!</v>
      </c>
      <c r="I169" s="56" t="e">
        <f t="shared" ca="1" si="56"/>
        <v>#REF!</v>
      </c>
      <c r="J169" s="56" t="e">
        <f t="shared" ca="1" si="57"/>
        <v>#REF!</v>
      </c>
      <c r="K169" s="10" t="s">
        <v>14</v>
      </c>
    </row>
    <row r="170" spans="2:11" ht="16.5" thickBot="1" x14ac:dyDescent="0.3">
      <c r="B170" s="135" t="s">
        <v>190</v>
      </c>
      <c r="C170" s="136"/>
      <c r="D170" s="136"/>
      <c r="E170" s="136"/>
      <c r="F170" s="136"/>
      <c r="G170" s="136"/>
      <c r="H170" s="136"/>
      <c r="I170" s="136"/>
      <c r="J170" s="136"/>
      <c r="K170" s="49" t="str">
        <f>MID(B170,FIND("=",B170)+1,2)</f>
        <v>BG</v>
      </c>
    </row>
    <row r="171" spans="2:11" x14ac:dyDescent="0.2">
      <c r="B171" s="145" t="s">
        <v>11</v>
      </c>
      <c r="C171" s="43" t="s">
        <v>40</v>
      </c>
      <c r="D171" s="67"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45"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67"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67"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67"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67"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67"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139"/>
      <c r="C172" s="41" t="s">
        <v>41</v>
      </c>
      <c r="D172" s="55" t="e">
        <f t="shared" ca="1" si="59"/>
        <v>#REF!</v>
      </c>
      <c r="E172" s="47" t="e">
        <f t="shared" ca="1" si="60"/>
        <v>#REF!</v>
      </c>
      <c r="F172" s="55" t="e">
        <f t="shared" ca="1" si="61"/>
        <v>#REF!</v>
      </c>
      <c r="G172" s="55" t="e">
        <f t="shared" ca="1" si="62"/>
        <v>#REF!</v>
      </c>
      <c r="H172" s="55" t="e">
        <f t="shared" ca="1" si="63"/>
        <v>#REF!</v>
      </c>
      <c r="I172" s="55" t="e">
        <f t="shared" ca="1" si="64"/>
        <v>#REF!</v>
      </c>
      <c r="J172" s="55" t="e">
        <f t="shared" ca="1" si="65"/>
        <v>#REF!</v>
      </c>
    </row>
    <row r="173" spans="2:11" x14ac:dyDescent="0.2">
      <c r="B173" s="139"/>
      <c r="C173" s="41" t="s">
        <v>52</v>
      </c>
      <c r="D173" s="55" t="e">
        <f t="shared" ca="1" si="59"/>
        <v>#REF!</v>
      </c>
      <c r="E173" s="47" t="e">
        <f t="shared" ca="1" si="60"/>
        <v>#REF!</v>
      </c>
      <c r="F173" s="55" t="e">
        <f t="shared" ca="1" si="61"/>
        <v>#REF!</v>
      </c>
      <c r="G173" s="55" t="e">
        <f t="shared" ca="1" si="62"/>
        <v>#REF!</v>
      </c>
      <c r="H173" s="55" t="e">
        <f t="shared" ca="1" si="63"/>
        <v>#REF!</v>
      </c>
      <c r="I173" s="55" t="e">
        <f t="shared" ca="1" si="64"/>
        <v>#REF!</v>
      </c>
      <c r="J173" s="55" t="e">
        <f t="shared" ca="1" si="65"/>
        <v>#REF!</v>
      </c>
    </row>
    <row r="174" spans="2:11" x14ac:dyDescent="0.2">
      <c r="B174" s="139"/>
      <c r="C174" s="41" t="s">
        <v>119</v>
      </c>
      <c r="D174" s="55" t="e">
        <f t="shared" ca="1" si="59"/>
        <v>#REF!</v>
      </c>
      <c r="E174" s="47" t="e">
        <f t="shared" ca="1" si="60"/>
        <v>#REF!</v>
      </c>
      <c r="F174" s="55" t="e">
        <f t="shared" ca="1" si="61"/>
        <v>#REF!</v>
      </c>
      <c r="G174" s="55" t="e">
        <f t="shared" ca="1" si="62"/>
        <v>#REF!</v>
      </c>
      <c r="H174" s="55" t="e">
        <f t="shared" ca="1" si="63"/>
        <v>#REF!</v>
      </c>
      <c r="I174" s="55" t="e">
        <f t="shared" ca="1" si="64"/>
        <v>#REF!</v>
      </c>
      <c r="J174" s="55" t="e">
        <f t="shared" ca="1" si="65"/>
        <v>#REF!</v>
      </c>
    </row>
    <row r="175" spans="2:11" x14ac:dyDescent="0.2">
      <c r="B175" s="139"/>
      <c r="C175" s="41" t="s">
        <v>42</v>
      </c>
      <c r="D175" s="55" t="e">
        <f t="shared" ca="1" si="59"/>
        <v>#REF!</v>
      </c>
      <c r="E175" s="47" t="e">
        <f t="shared" ca="1" si="60"/>
        <v>#REF!</v>
      </c>
      <c r="F175" s="55" t="e">
        <f t="shared" ca="1" si="61"/>
        <v>#REF!</v>
      </c>
      <c r="G175" s="55" t="e">
        <f t="shared" ca="1" si="62"/>
        <v>#REF!</v>
      </c>
      <c r="H175" s="55" t="e">
        <f t="shared" ca="1" si="63"/>
        <v>#REF!</v>
      </c>
      <c r="I175" s="55" t="e">
        <f t="shared" ca="1" si="64"/>
        <v>#REF!</v>
      </c>
      <c r="J175" s="55" t="e">
        <f t="shared" ca="1" si="65"/>
        <v>#REF!</v>
      </c>
    </row>
    <row r="176" spans="2:11" x14ac:dyDescent="0.2">
      <c r="B176" s="139"/>
      <c r="C176" s="41" t="s">
        <v>43</v>
      </c>
      <c r="D176" s="55" t="e">
        <f t="shared" ca="1" si="59"/>
        <v>#REF!</v>
      </c>
      <c r="E176" s="47" t="e">
        <f t="shared" ca="1" si="60"/>
        <v>#REF!</v>
      </c>
      <c r="F176" s="55" t="e">
        <f t="shared" ca="1" si="61"/>
        <v>#REF!</v>
      </c>
      <c r="G176" s="55" t="e">
        <f t="shared" ca="1" si="62"/>
        <v>#REF!</v>
      </c>
      <c r="H176" s="55" t="e">
        <f t="shared" ca="1" si="63"/>
        <v>#REF!</v>
      </c>
      <c r="I176" s="55" t="e">
        <f t="shared" ca="1" si="64"/>
        <v>#REF!</v>
      </c>
      <c r="J176" s="55" t="e">
        <f t="shared" ca="1" si="65"/>
        <v>#REF!</v>
      </c>
    </row>
    <row r="177" spans="2:10" x14ac:dyDescent="0.2">
      <c r="B177" s="139"/>
      <c r="C177" s="41" t="s">
        <v>44</v>
      </c>
      <c r="D177" s="55" t="e">
        <f t="shared" ca="1" si="59"/>
        <v>#REF!</v>
      </c>
      <c r="E177" s="47" t="e">
        <f t="shared" ca="1" si="60"/>
        <v>#REF!</v>
      </c>
      <c r="F177" s="55" t="e">
        <f t="shared" ca="1" si="61"/>
        <v>#REF!</v>
      </c>
      <c r="G177" s="55" t="e">
        <f t="shared" ca="1" si="62"/>
        <v>#REF!</v>
      </c>
      <c r="H177" s="55" t="e">
        <f t="shared" ca="1" si="63"/>
        <v>#REF!</v>
      </c>
      <c r="I177" s="55" t="e">
        <f t="shared" ca="1" si="64"/>
        <v>#REF!</v>
      </c>
      <c r="J177" s="55" t="e">
        <f t="shared" ca="1" si="65"/>
        <v>#REF!</v>
      </c>
    </row>
    <row r="178" spans="2:10" x14ac:dyDescent="0.2">
      <c r="B178" s="139"/>
      <c r="C178" s="41" t="s">
        <v>111</v>
      </c>
      <c r="D178" s="55" t="e">
        <f t="shared" ca="1" si="59"/>
        <v>#REF!</v>
      </c>
      <c r="E178" s="47" t="e">
        <f t="shared" ca="1" si="60"/>
        <v>#REF!</v>
      </c>
      <c r="F178" s="55" t="e">
        <f t="shared" ca="1" si="61"/>
        <v>#REF!</v>
      </c>
      <c r="G178" s="55" t="e">
        <f t="shared" ca="1" si="62"/>
        <v>#REF!</v>
      </c>
      <c r="H178" s="55" t="e">
        <f t="shared" ca="1" si="63"/>
        <v>#REF!</v>
      </c>
      <c r="I178" s="55" t="e">
        <f t="shared" ca="1" si="64"/>
        <v>#REF!</v>
      </c>
      <c r="J178" s="55" t="e">
        <f t="shared" ca="1" si="65"/>
        <v>#REF!</v>
      </c>
    </row>
    <row r="179" spans="2:10" x14ac:dyDescent="0.2">
      <c r="B179" s="139"/>
      <c r="C179" s="41" t="s">
        <v>45</v>
      </c>
      <c r="D179" s="55" t="e">
        <f t="shared" ca="1" si="59"/>
        <v>#REF!</v>
      </c>
      <c r="E179" s="47" t="e">
        <f t="shared" ca="1" si="60"/>
        <v>#REF!</v>
      </c>
      <c r="F179" s="55" t="e">
        <f t="shared" ca="1" si="61"/>
        <v>#REF!</v>
      </c>
      <c r="G179" s="55" t="e">
        <f t="shared" ca="1" si="62"/>
        <v>#REF!</v>
      </c>
      <c r="H179" s="55" t="e">
        <f t="shared" ca="1" si="63"/>
        <v>#REF!</v>
      </c>
      <c r="I179" s="55" t="e">
        <f t="shared" ca="1" si="64"/>
        <v>#REF!</v>
      </c>
      <c r="J179" s="55" t="e">
        <f t="shared" ca="1" si="65"/>
        <v>#REF!</v>
      </c>
    </row>
    <row r="180" spans="2:10" x14ac:dyDescent="0.2">
      <c r="B180" s="139"/>
      <c r="C180" s="41" t="s">
        <v>46</v>
      </c>
      <c r="D180" s="55" t="e">
        <f t="shared" ca="1" si="59"/>
        <v>#REF!</v>
      </c>
      <c r="E180" s="47" t="e">
        <f t="shared" ca="1" si="60"/>
        <v>#REF!</v>
      </c>
      <c r="F180" s="55" t="e">
        <f t="shared" ca="1" si="61"/>
        <v>#REF!</v>
      </c>
      <c r="G180" s="55" t="e">
        <f t="shared" ca="1" si="62"/>
        <v>#REF!</v>
      </c>
      <c r="H180" s="55" t="e">
        <f t="shared" ca="1" si="63"/>
        <v>#REF!</v>
      </c>
      <c r="I180" s="55" t="e">
        <f t="shared" ca="1" si="64"/>
        <v>#REF!</v>
      </c>
      <c r="J180" s="55" t="e">
        <f t="shared" ca="1" si="65"/>
        <v>#REF!</v>
      </c>
    </row>
    <row r="181" spans="2:10" x14ac:dyDescent="0.2">
      <c r="B181" s="139"/>
      <c r="C181" s="41" t="s">
        <v>47</v>
      </c>
      <c r="D181" s="55" t="e">
        <f t="shared" ca="1" si="59"/>
        <v>#REF!</v>
      </c>
      <c r="E181" s="47" t="e">
        <f t="shared" ca="1" si="60"/>
        <v>#REF!</v>
      </c>
      <c r="F181" s="55" t="e">
        <f t="shared" ca="1" si="61"/>
        <v>#REF!</v>
      </c>
      <c r="G181" s="55" t="e">
        <f t="shared" ca="1" si="62"/>
        <v>#REF!</v>
      </c>
      <c r="H181" s="55" t="e">
        <f t="shared" ca="1" si="63"/>
        <v>#REF!</v>
      </c>
      <c r="I181" s="55" t="e">
        <f t="shared" ca="1" si="64"/>
        <v>#REF!</v>
      </c>
      <c r="J181" s="55" t="e">
        <f t="shared" ca="1" si="65"/>
        <v>#REF!</v>
      </c>
    </row>
    <row r="182" spans="2:10" x14ac:dyDescent="0.2">
      <c r="B182" s="139"/>
      <c r="C182" s="41" t="s">
        <v>48</v>
      </c>
      <c r="D182" s="55" t="e">
        <f t="shared" ca="1" si="59"/>
        <v>#REF!</v>
      </c>
      <c r="E182" s="47" t="e">
        <f t="shared" ca="1" si="60"/>
        <v>#REF!</v>
      </c>
      <c r="F182" s="55" t="e">
        <f t="shared" ca="1" si="61"/>
        <v>#REF!</v>
      </c>
      <c r="G182" s="55" t="e">
        <f t="shared" ca="1" si="62"/>
        <v>#REF!</v>
      </c>
      <c r="H182" s="55" t="e">
        <f t="shared" ca="1" si="63"/>
        <v>#REF!</v>
      </c>
      <c r="I182" s="55" t="e">
        <f t="shared" ca="1" si="64"/>
        <v>#REF!</v>
      </c>
      <c r="J182" s="55" t="e">
        <f t="shared" ca="1" si="65"/>
        <v>#REF!</v>
      </c>
    </row>
    <row r="183" spans="2:10" x14ac:dyDescent="0.2">
      <c r="B183" s="139"/>
      <c r="C183" s="41" t="s">
        <v>53</v>
      </c>
      <c r="D183" s="55" t="e">
        <f t="shared" ca="1" si="59"/>
        <v>#REF!</v>
      </c>
      <c r="E183" s="47" t="e">
        <f t="shared" ca="1" si="60"/>
        <v>#REF!</v>
      </c>
      <c r="F183" s="55" t="e">
        <f t="shared" ca="1" si="61"/>
        <v>#REF!</v>
      </c>
      <c r="G183" s="55" t="e">
        <f t="shared" ca="1" si="62"/>
        <v>#REF!</v>
      </c>
      <c r="H183" s="55" t="e">
        <f t="shared" ca="1" si="63"/>
        <v>#REF!</v>
      </c>
      <c r="I183" s="55" t="e">
        <f t="shared" ca="1" si="64"/>
        <v>#REF!</v>
      </c>
      <c r="J183" s="55" t="e">
        <f t="shared" ca="1" si="65"/>
        <v>#REF!</v>
      </c>
    </row>
    <row r="184" spans="2:10" x14ac:dyDescent="0.2">
      <c r="B184" s="146" t="s">
        <v>132</v>
      </c>
      <c r="C184" s="42" t="s">
        <v>54</v>
      </c>
      <c r="D184" s="46" t="e">
        <f t="shared" ca="1" si="59"/>
        <v>#REF!</v>
      </c>
      <c r="E184" s="46" t="e">
        <f t="shared" ca="1" si="60"/>
        <v>#REF!</v>
      </c>
      <c r="F184" s="46" t="e">
        <f t="shared" ca="1" si="61"/>
        <v>#REF!</v>
      </c>
      <c r="G184" s="46" t="e">
        <f t="shared" ca="1" si="62"/>
        <v>#REF!</v>
      </c>
      <c r="H184" s="46" t="e">
        <f t="shared" ca="1" si="63"/>
        <v>#REF!</v>
      </c>
      <c r="I184" s="46" t="e">
        <f t="shared" ca="1" si="64"/>
        <v>#REF!</v>
      </c>
      <c r="J184" s="46" t="e">
        <f t="shared" ca="1" si="65"/>
        <v>#REF!</v>
      </c>
    </row>
    <row r="185" spans="2:10" x14ac:dyDescent="0.2">
      <c r="B185" s="146"/>
      <c r="C185" s="42" t="s">
        <v>55</v>
      </c>
      <c r="D185" s="46" t="e">
        <f t="shared" ca="1" si="59"/>
        <v>#REF!</v>
      </c>
      <c r="E185" s="46" t="e">
        <f t="shared" ca="1" si="60"/>
        <v>#REF!</v>
      </c>
      <c r="F185" s="46" t="e">
        <f t="shared" ca="1" si="61"/>
        <v>#REF!</v>
      </c>
      <c r="G185" s="46" t="e">
        <f t="shared" ca="1" si="62"/>
        <v>#REF!</v>
      </c>
      <c r="H185" s="46" t="e">
        <f t="shared" ca="1" si="63"/>
        <v>#REF!</v>
      </c>
      <c r="I185" s="46" t="e">
        <f t="shared" ca="1" si="64"/>
        <v>#REF!</v>
      </c>
      <c r="J185" s="46" t="e">
        <f t="shared" ca="1" si="65"/>
        <v>#REF!</v>
      </c>
    </row>
    <row r="186" spans="2:10" x14ac:dyDescent="0.2">
      <c r="B186" s="146"/>
      <c r="C186" s="42" t="s">
        <v>56</v>
      </c>
      <c r="D186" s="46" t="e">
        <f t="shared" ca="1" si="59"/>
        <v>#REF!</v>
      </c>
      <c r="E186" s="46" t="e">
        <f t="shared" ca="1" si="60"/>
        <v>#REF!</v>
      </c>
      <c r="F186" s="46" t="e">
        <f t="shared" ca="1" si="61"/>
        <v>#REF!</v>
      </c>
      <c r="G186" s="46" t="e">
        <f t="shared" ca="1" si="62"/>
        <v>#REF!</v>
      </c>
      <c r="H186" s="46" t="e">
        <f t="shared" ca="1" si="63"/>
        <v>#REF!</v>
      </c>
      <c r="I186" s="46" t="e">
        <f t="shared" ca="1" si="64"/>
        <v>#REF!</v>
      </c>
      <c r="J186" s="46" t="e">
        <f t="shared" ca="1" si="65"/>
        <v>#REF!</v>
      </c>
    </row>
    <row r="187" spans="2:10" x14ac:dyDescent="0.2">
      <c r="B187" s="146"/>
      <c r="C187" s="42" t="s">
        <v>57</v>
      </c>
      <c r="D187" s="46" t="e">
        <f t="shared" ca="1" si="59"/>
        <v>#REF!</v>
      </c>
      <c r="E187" s="46" t="e">
        <f t="shared" ca="1" si="60"/>
        <v>#REF!</v>
      </c>
      <c r="F187" s="46" t="e">
        <f t="shared" ca="1" si="61"/>
        <v>#REF!</v>
      </c>
      <c r="G187" s="46" t="e">
        <f t="shared" ca="1" si="62"/>
        <v>#REF!</v>
      </c>
      <c r="H187" s="46" t="e">
        <f t="shared" ca="1" si="63"/>
        <v>#REF!</v>
      </c>
      <c r="I187" s="46" t="e">
        <f t="shared" ca="1" si="64"/>
        <v>#REF!</v>
      </c>
      <c r="J187" s="46" t="e">
        <f t="shared" ca="1" si="65"/>
        <v>#REF!</v>
      </c>
    </row>
    <row r="188" spans="2:10" x14ac:dyDescent="0.2">
      <c r="B188" s="146"/>
      <c r="C188" s="42" t="s">
        <v>58</v>
      </c>
      <c r="D188" s="46" t="e">
        <f t="shared" ca="1" si="59"/>
        <v>#REF!</v>
      </c>
      <c r="E188" s="46" t="e">
        <f t="shared" ca="1" si="60"/>
        <v>#REF!</v>
      </c>
      <c r="F188" s="46" t="e">
        <f t="shared" ca="1" si="61"/>
        <v>#REF!</v>
      </c>
      <c r="G188" s="46" t="e">
        <f t="shared" ca="1" si="62"/>
        <v>#REF!</v>
      </c>
      <c r="H188" s="46" t="e">
        <f t="shared" ca="1" si="63"/>
        <v>#REF!</v>
      </c>
      <c r="I188" s="46" t="e">
        <f t="shared" ca="1" si="64"/>
        <v>#REF!</v>
      </c>
      <c r="J188" s="46" t="e">
        <f t="shared" ca="1" si="65"/>
        <v>#REF!</v>
      </c>
    </row>
    <row r="189" spans="2:10" x14ac:dyDescent="0.2">
      <c r="B189" s="146"/>
      <c r="C189" s="42" t="s">
        <v>0</v>
      </c>
      <c r="D189" s="46" t="e">
        <f t="shared" ca="1" si="59"/>
        <v>#REF!</v>
      </c>
      <c r="E189" s="46" t="e">
        <f t="shared" ca="1" si="60"/>
        <v>#REF!</v>
      </c>
      <c r="F189" s="46" t="e">
        <f t="shared" ca="1" si="61"/>
        <v>#REF!</v>
      </c>
      <c r="G189" s="46" t="e">
        <f t="shared" ca="1" si="62"/>
        <v>#REF!</v>
      </c>
      <c r="H189" s="46" t="e">
        <f t="shared" ca="1" si="63"/>
        <v>#REF!</v>
      </c>
      <c r="I189" s="46" t="e">
        <f t="shared" ca="1" si="64"/>
        <v>#REF!</v>
      </c>
      <c r="J189" s="46" t="e">
        <f t="shared" ca="1" si="65"/>
        <v>#REF!</v>
      </c>
    </row>
    <row r="190" spans="2:10" x14ac:dyDescent="0.2">
      <c r="B190" s="149" t="s">
        <v>106</v>
      </c>
      <c r="C190" s="69" t="s">
        <v>133</v>
      </c>
      <c r="D190" s="70" t="s">
        <v>174</v>
      </c>
      <c r="E190" s="70" t="s">
        <v>175</v>
      </c>
      <c r="F190" s="55"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55" t="e">
        <f t="shared" ca="1" si="62"/>
        <v>#REF!</v>
      </c>
      <c r="H190" s="55"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55"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55"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50"/>
      <c r="C191" s="69" t="s">
        <v>134</v>
      </c>
      <c r="D191" s="70" t="s">
        <v>176</v>
      </c>
      <c r="E191" s="70" t="s">
        <v>177</v>
      </c>
      <c r="F191" s="55"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55" t="e">
        <f t="shared" ca="1" si="62"/>
        <v>#REF!</v>
      </c>
      <c r="H191" s="55"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55"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55"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50"/>
      <c r="C192" s="41" t="s">
        <v>59</v>
      </c>
      <c r="D192" s="55"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47"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55"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55" t="e">
        <f t="shared" ca="1" si="62"/>
        <v>#REF!</v>
      </c>
      <c r="H192" s="55"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55"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55"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50"/>
      <c r="C193" s="69" t="s">
        <v>135</v>
      </c>
      <c r="D193" s="70" t="s">
        <v>178</v>
      </c>
      <c r="E193" s="70" t="s">
        <v>179</v>
      </c>
      <c r="F193" s="55"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55" t="e">
        <f t="shared" ca="1" si="62"/>
        <v>#REF!</v>
      </c>
      <c r="H193" s="55"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55"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55"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50"/>
      <c r="C194" s="41" t="s">
        <v>60</v>
      </c>
      <c r="D194" s="55"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47"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55"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55" t="e">
        <f t="shared" ca="1" si="62"/>
        <v>#REF!</v>
      </c>
      <c r="H194" s="55"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55"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55"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50"/>
      <c r="C195" s="41" t="s">
        <v>61</v>
      </c>
      <c r="D195" s="55"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47"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55"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55" t="e">
        <f t="shared" ca="1" si="62"/>
        <v>#REF!</v>
      </c>
      <c r="H195" s="55"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55"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55"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45"/>
      <c r="C196" s="41" t="s">
        <v>180</v>
      </c>
      <c r="D196" s="95" t="s">
        <v>181</v>
      </c>
      <c r="E196" s="47"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55"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55" t="e">
        <f t="shared" ca="1" si="62"/>
        <v>#REF!</v>
      </c>
      <c r="H196" s="55"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55"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55"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46" t="s">
        <v>140</v>
      </c>
      <c r="C197" s="42" t="s">
        <v>63</v>
      </c>
      <c r="D197" s="46"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46" t="e">
        <f t="shared" ca="1" si="66"/>
        <v>#REF!</v>
      </c>
      <c r="F197" s="46" t="e">
        <f t="shared" ca="1" si="67"/>
        <v>#REF!</v>
      </c>
      <c r="G197" s="46" t="e">
        <f t="shared" ca="1" si="62"/>
        <v>#REF!</v>
      </c>
      <c r="H197" s="46" t="e">
        <f t="shared" ca="1" si="68"/>
        <v>#REF!</v>
      </c>
      <c r="I197" s="46" t="e">
        <f t="shared" ca="1" si="69"/>
        <v>#REF!</v>
      </c>
      <c r="J197" s="46" t="e">
        <f t="shared" ca="1" si="70"/>
        <v>#REF!</v>
      </c>
    </row>
    <row r="198" spans="2:10" x14ac:dyDescent="0.2">
      <c r="B198" s="146"/>
      <c r="C198" s="42" t="s">
        <v>90</v>
      </c>
      <c r="D198" s="46" t="e">
        <f t="shared" ca="1" si="71"/>
        <v>#REF!</v>
      </c>
      <c r="E198" s="46" t="e">
        <f t="shared" ca="1" si="66"/>
        <v>#REF!</v>
      </c>
      <c r="F198" s="46" t="e">
        <f t="shared" ca="1" si="67"/>
        <v>#REF!</v>
      </c>
      <c r="G198" s="46" t="e">
        <f t="shared" ca="1" si="62"/>
        <v>#REF!</v>
      </c>
      <c r="H198" s="46" t="e">
        <f t="shared" ca="1" si="68"/>
        <v>#REF!</v>
      </c>
      <c r="I198" s="46" t="e">
        <f t="shared" ca="1" si="69"/>
        <v>#REF!</v>
      </c>
      <c r="J198" s="46" t="e">
        <f t="shared" ca="1" si="70"/>
        <v>#REF!</v>
      </c>
    </row>
    <row r="199" spans="2:10" x14ac:dyDescent="0.2">
      <c r="B199" s="146"/>
      <c r="C199" s="42" t="s">
        <v>65</v>
      </c>
      <c r="D199" s="46" t="e">
        <f t="shared" ca="1" si="71"/>
        <v>#REF!</v>
      </c>
      <c r="E199" s="46" t="e">
        <f t="shared" ca="1" si="66"/>
        <v>#REF!</v>
      </c>
      <c r="F199" s="46" t="e">
        <f t="shared" ca="1" si="67"/>
        <v>#REF!</v>
      </c>
      <c r="G199" s="46" t="e">
        <f t="shared" ca="1" si="62"/>
        <v>#REF!</v>
      </c>
      <c r="H199" s="46" t="e">
        <f t="shared" ca="1" si="68"/>
        <v>#REF!</v>
      </c>
      <c r="I199" s="46" t="e">
        <f t="shared" ca="1" si="69"/>
        <v>#REF!</v>
      </c>
      <c r="J199" s="46" t="e">
        <f t="shared" ca="1" si="70"/>
        <v>#REF!</v>
      </c>
    </row>
    <row r="200" spans="2:10" x14ac:dyDescent="0.2">
      <c r="B200" s="146"/>
      <c r="C200" s="42" t="s">
        <v>66</v>
      </c>
      <c r="D200" s="46" t="e">
        <f t="shared" ca="1" si="71"/>
        <v>#REF!</v>
      </c>
      <c r="E200" s="46" t="e">
        <f t="shared" ca="1" si="66"/>
        <v>#REF!</v>
      </c>
      <c r="F200" s="46" t="e">
        <f t="shared" ca="1" si="67"/>
        <v>#REF!</v>
      </c>
      <c r="G200" s="46" t="e">
        <f t="shared" ca="1" si="62"/>
        <v>#REF!</v>
      </c>
      <c r="H200" s="46" t="e">
        <f t="shared" ca="1" si="68"/>
        <v>#REF!</v>
      </c>
      <c r="I200" s="46" t="e">
        <f t="shared" ca="1" si="69"/>
        <v>#REF!</v>
      </c>
      <c r="J200" s="46" t="e">
        <f t="shared" ca="1" si="70"/>
        <v>#REF!</v>
      </c>
    </row>
    <row r="201" spans="2:10" x14ac:dyDescent="0.2">
      <c r="B201" s="146"/>
      <c r="C201" s="42" t="s">
        <v>68</v>
      </c>
      <c r="D201" s="46" t="e">
        <f t="shared" ca="1" si="71"/>
        <v>#REF!</v>
      </c>
      <c r="E201" s="46" t="e">
        <f t="shared" ca="1" si="66"/>
        <v>#REF!</v>
      </c>
      <c r="F201" s="46" t="e">
        <f t="shared" ca="1" si="67"/>
        <v>#REF!</v>
      </c>
      <c r="G201" s="46" t="e">
        <f t="shared" ca="1" si="62"/>
        <v>#REF!</v>
      </c>
      <c r="H201" s="46" t="e">
        <f t="shared" ca="1" si="68"/>
        <v>#REF!</v>
      </c>
      <c r="I201" s="46" t="e">
        <f t="shared" ca="1" si="69"/>
        <v>#REF!</v>
      </c>
      <c r="J201" s="46" t="e">
        <f t="shared" ca="1" si="70"/>
        <v>#REF!</v>
      </c>
    </row>
    <row r="202" spans="2:10" x14ac:dyDescent="0.2">
      <c r="B202" s="146"/>
      <c r="C202" s="42" t="s">
        <v>69</v>
      </c>
      <c r="D202" s="46" t="e">
        <f t="shared" ca="1" si="71"/>
        <v>#REF!</v>
      </c>
      <c r="E202" s="46" t="e">
        <f t="shared" ca="1" si="66"/>
        <v>#REF!</v>
      </c>
      <c r="F202" s="46" t="e">
        <f t="shared" ca="1" si="67"/>
        <v>#REF!</v>
      </c>
      <c r="G202" s="46" t="e">
        <f t="shared" ca="1" si="62"/>
        <v>#REF!</v>
      </c>
      <c r="H202" s="46" t="e">
        <f t="shared" ca="1" si="68"/>
        <v>#REF!</v>
      </c>
      <c r="I202" s="46" t="e">
        <f t="shared" ca="1" si="69"/>
        <v>#REF!</v>
      </c>
      <c r="J202" s="46" t="e">
        <f t="shared" ca="1" si="70"/>
        <v>#REF!</v>
      </c>
    </row>
    <row r="203" spans="2:10" x14ac:dyDescent="0.2">
      <c r="B203" s="146"/>
      <c r="C203" s="42" t="s">
        <v>70</v>
      </c>
      <c r="D203" s="46" t="e">
        <f t="shared" ca="1" si="71"/>
        <v>#REF!</v>
      </c>
      <c r="E203" s="46" t="e">
        <f t="shared" ca="1" si="66"/>
        <v>#REF!</v>
      </c>
      <c r="F203" s="46" t="e">
        <f t="shared" ca="1" si="67"/>
        <v>#REF!</v>
      </c>
      <c r="G203" s="46"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46" t="e">
        <f t="shared" ca="1" si="68"/>
        <v>#REF!</v>
      </c>
      <c r="I203" s="46" t="e">
        <f t="shared" ca="1" si="69"/>
        <v>#REF!</v>
      </c>
      <c r="J203" s="46" t="e">
        <f t="shared" ca="1" si="70"/>
        <v>#REF!</v>
      </c>
    </row>
    <row r="204" spans="2:10" x14ac:dyDescent="0.2">
      <c r="B204" s="146"/>
      <c r="C204" s="42" t="s">
        <v>71</v>
      </c>
      <c r="D204" s="46" t="e">
        <f t="shared" ca="1" si="71"/>
        <v>#REF!</v>
      </c>
      <c r="E204" s="46" t="e">
        <f t="shared" ca="1" si="66"/>
        <v>#REF!</v>
      </c>
      <c r="F204" s="46" t="e">
        <f t="shared" ca="1" si="67"/>
        <v>#REF!</v>
      </c>
      <c r="G204" s="46" t="e">
        <f t="shared" ca="1" si="72"/>
        <v>#REF!</v>
      </c>
      <c r="H204" s="46" t="e">
        <f t="shared" ca="1" si="68"/>
        <v>#REF!</v>
      </c>
      <c r="I204" s="46" t="e">
        <f t="shared" ca="1" si="69"/>
        <v>#REF!</v>
      </c>
      <c r="J204" s="46" t="e">
        <f t="shared" ca="1" si="70"/>
        <v>#REF!</v>
      </c>
    </row>
    <row r="205" spans="2:10" x14ac:dyDescent="0.2">
      <c r="B205" s="146"/>
      <c r="C205" s="42" t="s">
        <v>71</v>
      </c>
      <c r="D205" s="46" t="e">
        <f t="shared" ca="1" si="71"/>
        <v>#REF!</v>
      </c>
      <c r="E205" s="46" t="e">
        <f t="shared" ca="1" si="66"/>
        <v>#REF!</v>
      </c>
      <c r="F205" s="46" t="e">
        <f t="shared" ca="1" si="67"/>
        <v>#REF!</v>
      </c>
      <c r="G205" s="46" t="e">
        <f t="shared" ca="1" si="72"/>
        <v>#REF!</v>
      </c>
      <c r="H205" s="46" t="e">
        <f t="shared" ca="1" si="68"/>
        <v>#REF!</v>
      </c>
      <c r="I205" s="46" t="e">
        <f t="shared" ca="1" si="69"/>
        <v>#REF!</v>
      </c>
      <c r="J205" s="46" t="e">
        <f t="shared" ca="1" si="70"/>
        <v>#REF!</v>
      </c>
    </row>
    <row r="206" spans="2:10" x14ac:dyDescent="0.2">
      <c r="B206" s="146"/>
      <c r="C206" s="42" t="s">
        <v>74</v>
      </c>
      <c r="D206" s="46" t="e">
        <f t="shared" ca="1" si="71"/>
        <v>#REF!</v>
      </c>
      <c r="E206" s="46" t="e">
        <f t="shared" ca="1" si="66"/>
        <v>#REF!</v>
      </c>
      <c r="F206" s="46" t="e">
        <f t="shared" ca="1" si="67"/>
        <v>#REF!</v>
      </c>
      <c r="G206" s="46" t="e">
        <f t="shared" ca="1" si="72"/>
        <v>#REF!</v>
      </c>
      <c r="H206" s="46" t="e">
        <f t="shared" ca="1" si="68"/>
        <v>#REF!</v>
      </c>
      <c r="I206" s="46" t="e">
        <f t="shared" ca="1" si="69"/>
        <v>#REF!</v>
      </c>
      <c r="J206" s="46" t="e">
        <f t="shared" ca="1" si="70"/>
        <v>#REF!</v>
      </c>
    </row>
    <row r="207" spans="2:10" x14ac:dyDescent="0.2">
      <c r="B207" s="140" t="s">
        <v>145</v>
      </c>
      <c r="C207" s="41" t="s">
        <v>75</v>
      </c>
      <c r="D207" s="45" t="e">
        <f t="shared" ca="1" si="71"/>
        <v>#REF!</v>
      </c>
      <c r="E207" s="47" t="e">
        <f t="shared" ca="1" si="66"/>
        <v>#REF!</v>
      </c>
      <c r="F207" s="45" t="e">
        <f t="shared" ca="1" si="67"/>
        <v>#REF!</v>
      </c>
      <c r="G207" s="45" t="e">
        <f t="shared" ca="1" si="72"/>
        <v>#REF!</v>
      </c>
      <c r="H207" s="45" t="e">
        <f t="shared" ca="1" si="68"/>
        <v>#REF!</v>
      </c>
      <c r="I207" s="45" t="e">
        <f t="shared" ca="1" si="69"/>
        <v>#REF!</v>
      </c>
      <c r="J207" s="45" t="e">
        <f t="shared" ca="1" si="70"/>
        <v>#REF!</v>
      </c>
    </row>
    <row r="208" spans="2:10" x14ac:dyDescent="0.2">
      <c r="B208" s="140"/>
      <c r="C208" s="41" t="s">
        <v>76</v>
      </c>
      <c r="D208" s="45" t="e">
        <f t="shared" ca="1" si="71"/>
        <v>#REF!</v>
      </c>
      <c r="E208" s="47" t="e">
        <f t="shared" ca="1" si="66"/>
        <v>#REF!</v>
      </c>
      <c r="F208" s="45" t="e">
        <f t="shared" ca="1" si="67"/>
        <v>#REF!</v>
      </c>
      <c r="G208" s="45" t="e">
        <f t="shared" ca="1" si="72"/>
        <v>#REF!</v>
      </c>
      <c r="H208" s="45" t="e">
        <f t="shared" ca="1" si="68"/>
        <v>#REF!</v>
      </c>
      <c r="I208" s="45" t="e">
        <f t="shared" ca="1" si="69"/>
        <v>#REF!</v>
      </c>
      <c r="J208" s="45" t="e">
        <f t="shared" ca="1" si="70"/>
        <v>#REF!</v>
      </c>
    </row>
    <row r="209" spans="2:10" x14ac:dyDescent="0.2">
      <c r="B209" s="140"/>
      <c r="C209" s="41" t="s">
        <v>77</v>
      </c>
      <c r="D209" s="45" t="e">
        <f t="shared" ca="1" si="71"/>
        <v>#REF!</v>
      </c>
      <c r="E209" s="47" t="e">
        <f t="shared" ca="1" si="66"/>
        <v>#REF!</v>
      </c>
      <c r="F209" s="45" t="e">
        <f t="shared" ca="1" si="67"/>
        <v>#REF!</v>
      </c>
      <c r="G209" s="45" t="e">
        <f t="shared" ca="1" si="72"/>
        <v>#REF!</v>
      </c>
      <c r="H209" s="45" t="e">
        <f t="shared" ca="1" si="68"/>
        <v>#REF!</v>
      </c>
      <c r="I209" s="45" t="e">
        <f t="shared" ca="1" si="69"/>
        <v>#REF!</v>
      </c>
      <c r="J209" s="45" t="e">
        <f t="shared" ca="1" si="70"/>
        <v>#REF!</v>
      </c>
    </row>
    <row r="210" spans="2:10" x14ac:dyDescent="0.2">
      <c r="B210" s="140"/>
      <c r="C210" s="41" t="s">
        <v>116</v>
      </c>
      <c r="D210" s="45" t="e">
        <f t="shared" ca="1" si="71"/>
        <v>#REF!</v>
      </c>
      <c r="E210" s="47" t="e">
        <f t="shared" ca="1" si="66"/>
        <v>#REF!</v>
      </c>
      <c r="F210" s="45" t="e">
        <f t="shared" ca="1" si="67"/>
        <v>#REF!</v>
      </c>
      <c r="G210" s="45" t="e">
        <f t="shared" ca="1" si="72"/>
        <v>#REF!</v>
      </c>
      <c r="H210" s="45" t="e">
        <f t="shared" ca="1" si="68"/>
        <v>#REF!</v>
      </c>
      <c r="I210" s="45" t="e">
        <f t="shared" ca="1" si="69"/>
        <v>#REF!</v>
      </c>
      <c r="J210" s="45" t="e">
        <f t="shared" ca="1" si="70"/>
        <v>#REF!</v>
      </c>
    </row>
    <row r="211" spans="2:10" x14ac:dyDescent="0.2">
      <c r="B211" s="140"/>
      <c r="C211" s="41" t="s">
        <v>78</v>
      </c>
      <c r="D211" s="45" t="e">
        <f t="shared" ca="1" si="71"/>
        <v>#REF!</v>
      </c>
      <c r="E211" s="47" t="e">
        <f t="shared" ca="1" si="66"/>
        <v>#REF!</v>
      </c>
      <c r="F211" s="45" t="e">
        <f t="shared" ca="1" si="67"/>
        <v>#REF!</v>
      </c>
      <c r="G211" s="45" t="e">
        <f t="shared" ca="1" si="72"/>
        <v>#REF!</v>
      </c>
      <c r="H211" s="45" t="e">
        <f t="shared" ca="1" si="68"/>
        <v>#REF!</v>
      </c>
      <c r="I211" s="45" t="e">
        <f t="shared" ca="1" si="69"/>
        <v>#REF!</v>
      </c>
      <c r="J211" s="45" t="e">
        <f t="shared" ca="1" si="70"/>
        <v>#REF!</v>
      </c>
    </row>
    <row r="212" spans="2:10" x14ac:dyDescent="0.2">
      <c r="B212" s="140"/>
      <c r="C212" s="41" t="s">
        <v>79</v>
      </c>
      <c r="D212" s="45" t="e">
        <f t="shared" ca="1" si="71"/>
        <v>#REF!</v>
      </c>
      <c r="E212" s="47" t="e">
        <f t="shared" ca="1" si="66"/>
        <v>#REF!</v>
      </c>
      <c r="F212" s="45" t="e">
        <f t="shared" ca="1" si="67"/>
        <v>#REF!</v>
      </c>
      <c r="G212" s="45" t="e">
        <f t="shared" ca="1" si="72"/>
        <v>#REF!</v>
      </c>
      <c r="H212" s="45" t="e">
        <f t="shared" ca="1" si="68"/>
        <v>#REF!</v>
      </c>
      <c r="I212" s="45" t="e">
        <f t="shared" ca="1" si="69"/>
        <v>#REF!</v>
      </c>
      <c r="J212" s="45" t="e">
        <f t="shared" ca="1" si="70"/>
        <v>#REF!</v>
      </c>
    </row>
    <row r="213" spans="2:10" x14ac:dyDescent="0.2">
      <c r="B213" s="140"/>
      <c r="C213" s="41" t="s">
        <v>82</v>
      </c>
      <c r="D213" s="45" t="e">
        <f t="shared" ca="1" si="71"/>
        <v>#REF!</v>
      </c>
      <c r="E213" s="47" t="e">
        <f t="shared" ca="1" si="66"/>
        <v>#REF!</v>
      </c>
      <c r="F213" s="45" t="e">
        <f t="shared" ca="1" si="67"/>
        <v>#REF!</v>
      </c>
      <c r="G213" s="45" t="e">
        <f t="shared" ca="1" si="72"/>
        <v>#REF!</v>
      </c>
      <c r="H213" s="45" t="e">
        <f t="shared" ca="1" si="68"/>
        <v>#REF!</v>
      </c>
      <c r="I213" s="45" t="e">
        <f t="shared" ca="1" si="69"/>
        <v>#REF!</v>
      </c>
      <c r="J213" s="45" t="e">
        <f t="shared" ca="1" si="70"/>
        <v>#REF!</v>
      </c>
    </row>
    <row r="214" spans="2:10" x14ac:dyDescent="0.2">
      <c r="B214" s="140"/>
      <c r="C214" s="41" t="s">
        <v>80</v>
      </c>
      <c r="D214" s="45" t="e">
        <f t="shared" ca="1" si="71"/>
        <v>#REF!</v>
      </c>
      <c r="E214" s="47" t="e">
        <f t="shared" ca="1" si="66"/>
        <v>#REF!</v>
      </c>
      <c r="F214" s="45" t="e">
        <f t="shared" ca="1" si="67"/>
        <v>#REF!</v>
      </c>
      <c r="G214" s="45" t="e">
        <f t="shared" ca="1" si="72"/>
        <v>#REF!</v>
      </c>
      <c r="H214" s="45" t="e">
        <f t="shared" ca="1" si="68"/>
        <v>#REF!</v>
      </c>
      <c r="I214" s="45" t="e">
        <f t="shared" ca="1" si="69"/>
        <v>#REF!</v>
      </c>
      <c r="J214" s="45" t="e">
        <f t="shared" ca="1" si="70"/>
        <v>#REF!</v>
      </c>
    </row>
    <row r="215" spans="2:10" x14ac:dyDescent="0.2">
      <c r="B215" s="140"/>
      <c r="C215" s="41" t="s">
        <v>83</v>
      </c>
      <c r="D215" s="45" t="e">
        <f t="shared" ca="1" si="71"/>
        <v>#REF!</v>
      </c>
      <c r="E215" s="47" t="e">
        <f t="shared" ca="1" si="66"/>
        <v>#REF!</v>
      </c>
      <c r="F215" s="45" t="e">
        <f t="shared" ca="1" si="67"/>
        <v>#REF!</v>
      </c>
      <c r="G215" s="45" t="e">
        <f t="shared" ca="1" si="72"/>
        <v>#REF!</v>
      </c>
      <c r="H215" s="45" t="e">
        <f t="shared" ca="1" si="68"/>
        <v>#REF!</v>
      </c>
      <c r="I215" s="45" t="e">
        <f t="shared" ca="1" si="69"/>
        <v>#REF!</v>
      </c>
      <c r="J215" s="45" t="e">
        <f t="shared" ca="1" si="70"/>
        <v>#REF!</v>
      </c>
    </row>
    <row r="216" spans="2:10" x14ac:dyDescent="0.2">
      <c r="B216" s="140"/>
      <c r="C216" s="41" t="s">
        <v>115</v>
      </c>
      <c r="D216" s="45" t="e">
        <f t="shared" ca="1" si="71"/>
        <v>#REF!</v>
      </c>
      <c r="E216" s="47" t="e">
        <f t="shared" ca="1" si="66"/>
        <v>#REF!</v>
      </c>
      <c r="F216" s="45" t="e">
        <f t="shared" ca="1" si="67"/>
        <v>#REF!</v>
      </c>
      <c r="G216" s="45" t="e">
        <f t="shared" ca="1" si="72"/>
        <v>#REF!</v>
      </c>
      <c r="H216" s="45" t="e">
        <f t="shared" ca="1" si="68"/>
        <v>#REF!</v>
      </c>
      <c r="I216" s="45" t="e">
        <f t="shared" ca="1" si="69"/>
        <v>#REF!</v>
      </c>
      <c r="J216" s="45" t="e">
        <f t="shared" ca="1" si="70"/>
        <v>#REF!</v>
      </c>
    </row>
    <row r="217" spans="2:10" ht="23.25" customHeight="1" x14ac:dyDescent="0.2">
      <c r="B217" s="140"/>
      <c r="C217" s="41" t="s">
        <v>144</v>
      </c>
      <c r="D217" s="45" t="e">
        <f t="shared" ca="1" si="71"/>
        <v>#REF!</v>
      </c>
      <c r="E217" s="47" t="e">
        <f t="shared" ca="1" si="66"/>
        <v>#REF!</v>
      </c>
      <c r="F217" s="45" t="e">
        <f t="shared" ca="1" si="67"/>
        <v>#REF!</v>
      </c>
      <c r="G217" s="45" t="e">
        <f t="shared" ca="1" si="72"/>
        <v>#REF!</v>
      </c>
      <c r="H217" s="45" t="e">
        <f t="shared" ca="1" si="68"/>
        <v>#REF!</v>
      </c>
      <c r="I217" s="45" t="e">
        <f t="shared" ca="1" si="69"/>
        <v>#REF!</v>
      </c>
      <c r="J217" s="45" t="e">
        <f t="shared" ca="1" si="70"/>
        <v>#REF!</v>
      </c>
    </row>
    <row r="218" spans="2:10" x14ac:dyDescent="0.2">
      <c r="B218" s="140"/>
      <c r="C218" s="41" t="s">
        <v>5</v>
      </c>
      <c r="D218" s="45" t="e">
        <f t="shared" ca="1" si="71"/>
        <v>#REF!</v>
      </c>
      <c r="E218" s="47" t="e">
        <f t="shared" ca="1" si="66"/>
        <v>#REF!</v>
      </c>
      <c r="F218" s="45" t="e">
        <f t="shared" ca="1" si="67"/>
        <v>#REF!</v>
      </c>
      <c r="G218" s="45" t="e">
        <f t="shared" ca="1" si="72"/>
        <v>#REF!</v>
      </c>
      <c r="H218" s="45" t="e">
        <f t="shared" ca="1" si="68"/>
        <v>#REF!</v>
      </c>
      <c r="I218" s="45" t="e">
        <f t="shared" ca="1" si="69"/>
        <v>#REF!</v>
      </c>
      <c r="J218" s="45" t="e">
        <f t="shared" ca="1" si="70"/>
        <v>#REF!</v>
      </c>
    </row>
    <row r="219" spans="2:10" x14ac:dyDescent="0.2">
      <c r="B219" s="140"/>
      <c r="C219" s="41" t="s">
        <v>6</v>
      </c>
      <c r="D219" s="45" t="e">
        <f t="shared" ca="1" si="71"/>
        <v>#REF!</v>
      </c>
      <c r="E219" s="47" t="e">
        <f t="shared" ca="1" si="66"/>
        <v>#REF!</v>
      </c>
      <c r="F219" s="45" t="e">
        <f t="shared" ca="1" si="67"/>
        <v>#REF!</v>
      </c>
      <c r="G219" s="45" t="e">
        <f t="shared" ca="1" si="72"/>
        <v>#REF!</v>
      </c>
      <c r="H219" s="45" t="e">
        <f t="shared" ca="1" si="68"/>
        <v>#REF!</v>
      </c>
      <c r="I219" s="45" t="e">
        <f t="shared" ca="1" si="69"/>
        <v>#REF!</v>
      </c>
      <c r="J219" s="45" t="e">
        <f t="shared" ca="1" si="70"/>
        <v>#REF!</v>
      </c>
    </row>
    <row r="220" spans="2:10" x14ac:dyDescent="0.2">
      <c r="B220" s="140"/>
      <c r="C220" s="41" t="s">
        <v>10</v>
      </c>
      <c r="D220" s="45" t="e">
        <f t="shared" ca="1" si="71"/>
        <v>#REF!</v>
      </c>
      <c r="E220" s="47" t="e">
        <f t="shared" ca="1" si="66"/>
        <v>#REF!</v>
      </c>
      <c r="F220" s="45" t="e">
        <f t="shared" ca="1" si="67"/>
        <v>#REF!</v>
      </c>
      <c r="G220" s="45" t="e">
        <f t="shared" ca="1" si="72"/>
        <v>#REF!</v>
      </c>
      <c r="H220" s="45" t="e">
        <f t="shared" ca="1" si="68"/>
        <v>#REF!</v>
      </c>
      <c r="I220" s="45" t="e">
        <f t="shared" ca="1" si="69"/>
        <v>#REF!</v>
      </c>
      <c r="J220" s="45" t="e">
        <f t="shared" ca="1" si="70"/>
        <v>#REF!</v>
      </c>
    </row>
    <row r="221" spans="2:10" x14ac:dyDescent="0.2">
      <c r="B221" s="137" t="s">
        <v>152</v>
      </c>
      <c r="C221" s="42" t="s">
        <v>37</v>
      </c>
      <c r="D221" s="46" t="e">
        <f t="shared" ca="1" si="71"/>
        <v>#REF!</v>
      </c>
      <c r="E221" s="46" t="e">
        <f t="shared" ca="1" si="66"/>
        <v>#REF!</v>
      </c>
      <c r="F221" s="46" t="e">
        <f t="shared" ca="1" si="67"/>
        <v>#REF!</v>
      </c>
      <c r="G221" s="46" t="e">
        <f t="shared" ca="1" si="72"/>
        <v>#REF!</v>
      </c>
      <c r="H221" s="46" t="e">
        <f t="shared" ca="1" si="68"/>
        <v>#REF!</v>
      </c>
      <c r="I221" s="46" t="e">
        <f t="shared" ca="1" si="69"/>
        <v>#REF!</v>
      </c>
      <c r="J221" s="46" t="e">
        <f t="shared" ca="1" si="70"/>
        <v>#REF!</v>
      </c>
    </row>
    <row r="222" spans="2:10" x14ac:dyDescent="0.2">
      <c r="B222" s="137"/>
      <c r="C222" s="42" t="s">
        <v>150</v>
      </c>
      <c r="D222" s="46" t="e">
        <f t="shared" ca="1" si="71"/>
        <v>#REF!</v>
      </c>
      <c r="E222" s="46" t="e">
        <f t="shared" ca="1" si="66"/>
        <v>#REF!</v>
      </c>
      <c r="F222" s="46" t="e">
        <f t="shared" ca="1" si="67"/>
        <v>#REF!</v>
      </c>
      <c r="G222" s="46" t="e">
        <f t="shared" ca="1" si="72"/>
        <v>#REF!</v>
      </c>
      <c r="H222" s="46" t="e">
        <f t="shared" ca="1" si="68"/>
        <v>#REF!</v>
      </c>
      <c r="I222" s="46" t="e">
        <f t="shared" ca="1" si="69"/>
        <v>#REF!</v>
      </c>
      <c r="J222" s="46" t="e">
        <f t="shared" ca="1" si="70"/>
        <v>#REF!</v>
      </c>
    </row>
    <row r="223" spans="2:10" x14ac:dyDescent="0.2">
      <c r="B223" s="137"/>
      <c r="C223" s="42" t="s">
        <v>117</v>
      </c>
      <c r="D223" s="46" t="e">
        <f t="shared" ca="1" si="71"/>
        <v>#REF!</v>
      </c>
      <c r="E223" s="46" t="e">
        <f t="shared" ca="1" si="66"/>
        <v>#REF!</v>
      </c>
      <c r="F223" s="46" t="e">
        <f t="shared" ca="1" si="67"/>
        <v>#REF!</v>
      </c>
      <c r="G223" s="46" t="e">
        <f t="shared" ca="1" si="72"/>
        <v>#REF!</v>
      </c>
      <c r="H223" s="46" t="e">
        <f t="shared" ca="1" si="68"/>
        <v>#REF!</v>
      </c>
      <c r="I223" s="46" t="e">
        <f t="shared" ca="1" si="69"/>
        <v>#REF!</v>
      </c>
      <c r="J223" s="46" t="e">
        <f t="shared" ca="1" si="70"/>
        <v>#REF!</v>
      </c>
    </row>
    <row r="224" spans="2:10" x14ac:dyDescent="0.2">
      <c r="B224" s="137"/>
      <c r="C224" s="42" t="s">
        <v>39</v>
      </c>
      <c r="D224" s="46" t="e">
        <f t="shared" ca="1" si="71"/>
        <v>#REF!</v>
      </c>
      <c r="E224" s="46" t="e">
        <f t="shared" ca="1" si="66"/>
        <v>#REF!</v>
      </c>
      <c r="F224" s="46" t="e">
        <f t="shared" ca="1" si="67"/>
        <v>#REF!</v>
      </c>
      <c r="G224" s="46" t="e">
        <f t="shared" ca="1" si="72"/>
        <v>#REF!</v>
      </c>
      <c r="H224" s="46" t="e">
        <f t="shared" ca="1" si="68"/>
        <v>#REF!</v>
      </c>
      <c r="I224" s="46" t="e">
        <f t="shared" ca="1" si="69"/>
        <v>#REF!</v>
      </c>
      <c r="J224" s="46" t="e">
        <f t="shared" ca="1" si="70"/>
        <v>#REF!</v>
      </c>
    </row>
    <row r="225" spans="2:10" x14ac:dyDescent="0.2">
      <c r="B225" s="137"/>
      <c r="C225" s="42" t="s">
        <v>38</v>
      </c>
      <c r="D225" s="46" t="e">
        <f t="shared" ca="1" si="71"/>
        <v>#REF!</v>
      </c>
      <c r="E225" s="46" t="e">
        <f t="shared" ca="1" si="66"/>
        <v>#REF!</v>
      </c>
      <c r="F225" s="46" t="e">
        <f t="shared" ca="1" si="67"/>
        <v>#REF!</v>
      </c>
      <c r="G225" s="46" t="e">
        <f t="shared" ca="1" si="72"/>
        <v>#REF!</v>
      </c>
      <c r="H225" s="46" t="e">
        <f t="shared" ca="1" si="68"/>
        <v>#REF!</v>
      </c>
      <c r="I225" s="46" t="e">
        <f t="shared" ca="1" si="69"/>
        <v>#REF!</v>
      </c>
      <c r="J225" s="46" t="e">
        <f t="shared" ca="1" si="70"/>
        <v>#REF!</v>
      </c>
    </row>
    <row r="226" spans="2:10" x14ac:dyDescent="0.2">
      <c r="B226" s="137"/>
      <c r="C226" s="42" t="s">
        <v>118</v>
      </c>
      <c r="D226" s="46" t="e">
        <f t="shared" ca="1" si="71"/>
        <v>#REF!</v>
      </c>
      <c r="E226" s="46" t="e">
        <f t="shared" ca="1" si="66"/>
        <v>#REF!</v>
      </c>
      <c r="F226" s="46" t="e">
        <f t="shared" ca="1" si="67"/>
        <v>#REF!</v>
      </c>
      <c r="G226" s="46" t="e">
        <f t="shared" ca="1" si="72"/>
        <v>#REF!</v>
      </c>
      <c r="H226" s="46" t="e">
        <f t="shared" ca="1" si="68"/>
        <v>#REF!</v>
      </c>
      <c r="I226" s="46" t="e">
        <f t="shared" ca="1" si="69"/>
        <v>#REF!</v>
      </c>
      <c r="J226" s="46" t="e">
        <f t="shared" ca="1" si="70"/>
        <v>#REF!</v>
      </c>
    </row>
    <row r="227" spans="2:10" x14ac:dyDescent="0.2">
      <c r="B227" s="137"/>
      <c r="C227" s="42" t="s">
        <v>89</v>
      </c>
      <c r="D227" s="46" t="e">
        <f t="shared" ca="1" si="71"/>
        <v>#REF!</v>
      </c>
      <c r="E227" s="46" t="e">
        <f t="shared" ca="1" si="66"/>
        <v>#REF!</v>
      </c>
      <c r="F227" s="46" t="e">
        <f t="shared" ca="1" si="67"/>
        <v>#REF!</v>
      </c>
      <c r="G227" s="46" t="e">
        <f t="shared" ca="1" si="72"/>
        <v>#REF!</v>
      </c>
      <c r="H227" s="46" t="e">
        <f t="shared" ca="1" si="68"/>
        <v>#REF!</v>
      </c>
      <c r="I227" s="46" t="e">
        <f t="shared" ca="1" si="69"/>
        <v>#REF!</v>
      </c>
      <c r="J227" s="46" t="e">
        <f t="shared" ca="1" si="70"/>
        <v>#REF!</v>
      </c>
    </row>
    <row r="228" spans="2:10" x14ac:dyDescent="0.2">
      <c r="B228" s="137"/>
      <c r="C228" s="42" t="s">
        <v>151</v>
      </c>
      <c r="D228" s="46" t="e">
        <f t="shared" ca="1" si="71"/>
        <v>#REF!</v>
      </c>
      <c r="E228" s="46" t="e">
        <f t="shared" ca="1" si="66"/>
        <v>#REF!</v>
      </c>
      <c r="F228" s="46" t="e">
        <f t="shared" ca="1" si="67"/>
        <v>#REF!</v>
      </c>
      <c r="G228" s="46" t="e">
        <f t="shared" ca="1" si="72"/>
        <v>#REF!</v>
      </c>
      <c r="H228" s="46" t="e">
        <f t="shared" ca="1" si="68"/>
        <v>#REF!</v>
      </c>
      <c r="I228" s="46" t="e">
        <f t="shared" ca="1" si="69"/>
        <v>#REF!</v>
      </c>
      <c r="J228" s="46" t="e">
        <f t="shared" ca="1" si="70"/>
        <v>#REF!</v>
      </c>
    </row>
    <row r="229" spans="2:10" x14ac:dyDescent="0.2">
      <c r="B229" s="140" t="s">
        <v>153</v>
      </c>
      <c r="C229" s="41" t="s">
        <v>37</v>
      </c>
      <c r="D229" s="45" t="e">
        <f t="shared" ca="1" si="71"/>
        <v>#REF!</v>
      </c>
      <c r="E229" s="47" t="e">
        <f t="shared" ca="1" si="66"/>
        <v>#REF!</v>
      </c>
      <c r="F229" s="45" t="e">
        <f t="shared" ca="1" si="67"/>
        <v>#REF!</v>
      </c>
      <c r="G229" s="45" t="e">
        <f t="shared" ca="1" si="72"/>
        <v>#REF!</v>
      </c>
      <c r="H229" s="45" t="e">
        <f t="shared" ca="1" si="68"/>
        <v>#REF!</v>
      </c>
      <c r="I229" s="45" t="e">
        <f t="shared" ca="1" si="69"/>
        <v>#REF!</v>
      </c>
      <c r="J229" s="45" t="e">
        <f t="shared" ca="1" si="70"/>
        <v>#REF!</v>
      </c>
    </row>
    <row r="230" spans="2:10" x14ac:dyDescent="0.2">
      <c r="B230" s="140"/>
      <c r="C230" s="41" t="s">
        <v>150</v>
      </c>
      <c r="D230" s="45" t="e">
        <f t="shared" ca="1" si="71"/>
        <v>#REF!</v>
      </c>
      <c r="E230" s="45" t="e">
        <f t="shared" ca="1" si="66"/>
        <v>#REF!</v>
      </c>
      <c r="F230" s="45" t="e">
        <f t="shared" ca="1" si="67"/>
        <v>#REF!</v>
      </c>
      <c r="G230" s="45" t="e">
        <f t="shared" ca="1" si="72"/>
        <v>#REF!</v>
      </c>
      <c r="H230" s="45" t="e">
        <f t="shared" ca="1" si="68"/>
        <v>#REF!</v>
      </c>
      <c r="I230" s="45" t="e">
        <f t="shared" ca="1" si="69"/>
        <v>#REF!</v>
      </c>
      <c r="J230" s="45" t="e">
        <f t="shared" ca="1" si="70"/>
        <v>#REF!</v>
      </c>
    </row>
    <row r="231" spans="2:10" x14ac:dyDescent="0.2">
      <c r="B231" s="140"/>
      <c r="C231" s="41" t="s">
        <v>117</v>
      </c>
      <c r="D231" s="45" t="e">
        <f t="shared" ca="1" si="71"/>
        <v>#REF!</v>
      </c>
      <c r="E231" s="47" t="e">
        <f t="shared" ca="1" si="66"/>
        <v>#REF!</v>
      </c>
      <c r="F231" s="45" t="e">
        <f t="shared" ca="1" si="67"/>
        <v>#REF!</v>
      </c>
      <c r="G231" s="45" t="e">
        <f t="shared" ca="1" si="72"/>
        <v>#REF!</v>
      </c>
      <c r="H231" s="45" t="e">
        <f t="shared" ca="1" si="68"/>
        <v>#REF!</v>
      </c>
      <c r="I231" s="45" t="e">
        <f t="shared" ca="1" si="69"/>
        <v>#REF!</v>
      </c>
      <c r="J231" s="45" t="e">
        <f t="shared" ca="1" si="70"/>
        <v>#REF!</v>
      </c>
    </row>
    <row r="232" spans="2:10" x14ac:dyDescent="0.2">
      <c r="B232" s="140"/>
      <c r="C232" s="41" t="s">
        <v>39</v>
      </c>
      <c r="D232" s="45" t="e">
        <f t="shared" ca="1" si="71"/>
        <v>#REF!</v>
      </c>
      <c r="E232" s="47" t="e">
        <f t="shared" ca="1" si="66"/>
        <v>#REF!</v>
      </c>
      <c r="F232" s="45" t="e">
        <f t="shared" ca="1" si="67"/>
        <v>#REF!</v>
      </c>
      <c r="G232" s="45" t="e">
        <f t="shared" ca="1" si="72"/>
        <v>#REF!</v>
      </c>
      <c r="H232" s="45" t="e">
        <f t="shared" ca="1" si="68"/>
        <v>#REF!</v>
      </c>
      <c r="I232" s="45" t="e">
        <f t="shared" ca="1" si="69"/>
        <v>#REF!</v>
      </c>
      <c r="J232" s="45" t="e">
        <f t="shared" ca="1" si="70"/>
        <v>#REF!</v>
      </c>
    </row>
    <row r="233" spans="2:10" x14ac:dyDescent="0.2">
      <c r="B233" s="140"/>
      <c r="C233" s="41" t="s">
        <v>38</v>
      </c>
      <c r="D233" s="45" t="e">
        <f t="shared" ca="1" si="71"/>
        <v>#REF!</v>
      </c>
      <c r="E233" s="47" t="e">
        <f t="shared" ca="1" si="66"/>
        <v>#REF!</v>
      </c>
      <c r="F233" s="45" t="e">
        <f t="shared" ca="1" si="67"/>
        <v>#REF!</v>
      </c>
      <c r="G233" s="45" t="e">
        <f t="shared" ca="1" si="72"/>
        <v>#REF!</v>
      </c>
      <c r="H233" s="45" t="e">
        <f t="shared" ca="1" si="68"/>
        <v>#REF!</v>
      </c>
      <c r="I233" s="45" t="e">
        <f t="shared" ca="1" si="69"/>
        <v>#REF!</v>
      </c>
      <c r="J233" s="45" t="e">
        <f t="shared" ca="1" si="70"/>
        <v>#REF!</v>
      </c>
    </row>
    <row r="234" spans="2:10" x14ac:dyDescent="0.2">
      <c r="B234" s="140"/>
      <c r="C234" s="41" t="s">
        <v>89</v>
      </c>
      <c r="D234" s="45" t="e">
        <f t="shared" ca="1" si="71"/>
        <v>#REF!</v>
      </c>
      <c r="E234" s="47" t="e">
        <f t="shared" ca="1" si="66"/>
        <v>#REF!</v>
      </c>
      <c r="F234" s="45" t="e">
        <f t="shared" ca="1" si="67"/>
        <v>#REF!</v>
      </c>
      <c r="G234" s="45" t="e">
        <f t="shared" ca="1" si="72"/>
        <v>#REF!</v>
      </c>
      <c r="H234" s="45" t="e">
        <f t="shared" ca="1" si="68"/>
        <v>#REF!</v>
      </c>
      <c r="I234" s="45" t="e">
        <f t="shared" ca="1" si="69"/>
        <v>#REF!</v>
      </c>
      <c r="J234" s="45" t="e">
        <f t="shared" ca="1" si="70"/>
        <v>#REF!</v>
      </c>
    </row>
    <row r="235" spans="2:10" x14ac:dyDescent="0.2">
      <c r="B235" s="140"/>
      <c r="C235" s="41" t="s">
        <v>151</v>
      </c>
      <c r="D235" s="45" t="e">
        <f t="shared" ca="1" si="71"/>
        <v>#REF!</v>
      </c>
      <c r="E235" s="47" t="e">
        <f t="shared" ca="1" si="66"/>
        <v>#REF!</v>
      </c>
      <c r="F235" s="45" t="e">
        <f t="shared" ca="1" si="67"/>
        <v>#REF!</v>
      </c>
      <c r="G235" s="45"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45" t="e">
        <f t="shared" ca="1" si="68"/>
        <v>#REF!</v>
      </c>
      <c r="I235" s="45" t="e">
        <f t="shared" ca="1" si="69"/>
        <v>#REF!</v>
      </c>
      <c r="J235" s="45" t="e">
        <f t="shared" ca="1" si="70"/>
        <v>#REF!</v>
      </c>
    </row>
    <row r="236" spans="2:10" x14ac:dyDescent="0.2">
      <c r="B236" s="137" t="s">
        <v>1</v>
      </c>
      <c r="C236" s="42" t="s">
        <v>2</v>
      </c>
      <c r="D236" s="46" t="e">
        <f t="shared" ca="1" si="71"/>
        <v>#REF!</v>
      </c>
      <c r="E236" s="46" t="e">
        <f t="shared" ca="1" si="66"/>
        <v>#REF!</v>
      </c>
      <c r="F236" s="46" t="e">
        <f t="shared" ca="1" si="67"/>
        <v>#REF!</v>
      </c>
      <c r="G236" s="46" t="e">
        <f t="shared" ca="1" si="73"/>
        <v>#REF!</v>
      </c>
      <c r="H236" s="46" t="e">
        <f t="shared" ca="1" si="68"/>
        <v>#REF!</v>
      </c>
      <c r="I236" s="46" t="e">
        <f t="shared" ca="1" si="69"/>
        <v>#REF!</v>
      </c>
      <c r="J236" s="46" t="e">
        <f t="shared" ca="1" si="70"/>
        <v>#REF!</v>
      </c>
    </row>
    <row r="237" spans="2:10" x14ac:dyDescent="0.2">
      <c r="B237" s="137"/>
      <c r="C237" s="42" t="s">
        <v>3</v>
      </c>
      <c r="D237" s="46" t="e">
        <f t="shared" ca="1" si="71"/>
        <v>#REF!</v>
      </c>
      <c r="E237" s="46" t="e">
        <f t="shared" ca="1" si="66"/>
        <v>#REF!</v>
      </c>
      <c r="F237" s="46" t="e">
        <f t="shared" ca="1" si="67"/>
        <v>#REF!</v>
      </c>
      <c r="G237" s="46" t="e">
        <f t="shared" ca="1" si="73"/>
        <v>#REF!</v>
      </c>
      <c r="H237" s="46" t="e">
        <f t="shared" ca="1" si="68"/>
        <v>#REF!</v>
      </c>
      <c r="I237" s="46" t="e">
        <f t="shared" ca="1" si="69"/>
        <v>#REF!</v>
      </c>
      <c r="J237" s="46" t="e">
        <f t="shared" ca="1" si="70"/>
        <v>#REF!</v>
      </c>
    </row>
    <row r="238" spans="2:10" x14ac:dyDescent="0.2">
      <c r="B238" s="137"/>
      <c r="C238" s="42" t="s">
        <v>4</v>
      </c>
      <c r="D238" s="46" t="e">
        <f t="shared" ca="1" si="71"/>
        <v>#REF!</v>
      </c>
      <c r="E238" s="46" t="e">
        <f t="shared" ca="1" si="66"/>
        <v>#REF!</v>
      </c>
      <c r="F238" s="46" t="e">
        <f t="shared" ca="1" si="67"/>
        <v>#REF!</v>
      </c>
      <c r="G238" s="46" t="e">
        <f t="shared" ca="1" si="73"/>
        <v>#REF!</v>
      </c>
      <c r="H238" s="46" t="e">
        <f t="shared" ca="1" si="68"/>
        <v>#REF!</v>
      </c>
      <c r="I238" s="46" t="e">
        <f t="shared" ca="1" si="69"/>
        <v>#REF!</v>
      </c>
      <c r="J238" s="46" t="e">
        <f t="shared" ca="1" si="70"/>
        <v>#REF!</v>
      </c>
    </row>
    <row r="239" spans="2:10" x14ac:dyDescent="0.2">
      <c r="B239" s="140" t="s">
        <v>157</v>
      </c>
      <c r="C239" s="41" t="s">
        <v>8</v>
      </c>
      <c r="D239" s="45" t="e">
        <f t="shared" ca="1" si="71"/>
        <v>#REF!</v>
      </c>
      <c r="E239" s="47" t="e">
        <f t="shared" ca="1" si="66"/>
        <v>#REF!</v>
      </c>
      <c r="F239" s="45" t="e">
        <f t="shared" ca="1" si="67"/>
        <v>#REF!</v>
      </c>
      <c r="G239" s="45" t="e">
        <f t="shared" ca="1" si="73"/>
        <v>#REF!</v>
      </c>
      <c r="H239" s="45" t="e">
        <f t="shared" ca="1" si="68"/>
        <v>#REF!</v>
      </c>
      <c r="I239" s="45" t="e">
        <f t="shared" ca="1" si="69"/>
        <v>#REF!</v>
      </c>
      <c r="J239" s="45" t="e">
        <f t="shared" ca="1" si="70"/>
        <v>#REF!</v>
      </c>
    </row>
    <row r="240" spans="2:10" x14ac:dyDescent="0.2">
      <c r="B240" s="140"/>
      <c r="C240" s="41" t="s">
        <v>155</v>
      </c>
      <c r="D240" s="45" t="e">
        <f t="shared" ca="1" si="71"/>
        <v>#REF!</v>
      </c>
      <c r="E240" s="47" t="e">
        <f t="shared" ca="1" si="66"/>
        <v>#REF!</v>
      </c>
      <c r="F240" s="45" t="e">
        <f t="shared" ca="1" si="67"/>
        <v>#REF!</v>
      </c>
      <c r="G240" s="45" t="e">
        <f t="shared" ca="1" si="73"/>
        <v>#REF!</v>
      </c>
      <c r="H240" s="45" t="e">
        <f t="shared" ca="1" si="68"/>
        <v>#REF!</v>
      </c>
      <c r="I240" s="45" t="e">
        <f t="shared" ca="1" si="69"/>
        <v>#REF!</v>
      </c>
      <c r="J240" s="45" t="e">
        <f t="shared" ca="1" si="70"/>
        <v>#REF!</v>
      </c>
    </row>
    <row r="241" spans="2:11" x14ac:dyDescent="0.2">
      <c r="B241" s="140"/>
      <c r="C241" s="41" t="s">
        <v>7</v>
      </c>
      <c r="D241" s="45" t="e">
        <f t="shared" ca="1" si="71"/>
        <v>#REF!</v>
      </c>
      <c r="E241" s="47" t="e">
        <f t="shared" ca="1" si="66"/>
        <v>#REF!</v>
      </c>
      <c r="F241" s="45" t="e">
        <f t="shared" ca="1" si="67"/>
        <v>#REF!</v>
      </c>
      <c r="G241" s="45" t="e">
        <f t="shared" ca="1" si="73"/>
        <v>#REF!</v>
      </c>
      <c r="H241" s="45" t="e">
        <f t="shared" ca="1" si="68"/>
        <v>#REF!</v>
      </c>
      <c r="I241" s="45" t="e">
        <f t="shared" ca="1" si="69"/>
        <v>#REF!</v>
      </c>
      <c r="J241" s="45" t="e">
        <f t="shared" ca="1" si="70"/>
        <v>#REF!</v>
      </c>
    </row>
    <row r="242" spans="2:11" ht="13.5" thickBot="1" x14ac:dyDescent="0.25">
      <c r="B242" s="140"/>
      <c r="C242" s="41" t="s">
        <v>156</v>
      </c>
      <c r="D242" s="45" t="e">
        <f t="shared" ca="1" si="71"/>
        <v>#REF!</v>
      </c>
      <c r="E242" s="47" t="e">
        <f t="shared" ca="1" si="66"/>
        <v>#REF!</v>
      </c>
      <c r="F242" s="45" t="e">
        <f t="shared" ca="1" si="67"/>
        <v>#REF!</v>
      </c>
      <c r="G242" s="45" t="e">
        <f t="shared" ca="1" si="73"/>
        <v>#REF!</v>
      </c>
      <c r="H242" s="45" t="e">
        <f t="shared" ca="1" si="68"/>
        <v>#REF!</v>
      </c>
      <c r="I242" s="45" t="e">
        <f t="shared" ca="1" si="69"/>
        <v>#REF!</v>
      </c>
      <c r="J242" s="45" t="e">
        <f t="shared" ca="1" si="70"/>
        <v>#REF!</v>
      </c>
    </row>
    <row r="243" spans="2:11" ht="16.5" thickBot="1" x14ac:dyDescent="0.3">
      <c r="B243" s="135" t="s">
        <v>191</v>
      </c>
      <c r="C243" s="136"/>
      <c r="D243" s="136"/>
      <c r="E243" s="136"/>
      <c r="F243" s="136"/>
      <c r="G243" s="136"/>
      <c r="H243" s="136"/>
      <c r="I243" s="136"/>
      <c r="J243" s="136"/>
      <c r="K243" s="49" t="str">
        <f>MID(B243,FIND("=",B243)+1,2)</f>
        <v>BF</v>
      </c>
    </row>
    <row r="244" spans="2:11" x14ac:dyDescent="0.2">
      <c r="B244" s="141" t="s">
        <v>11</v>
      </c>
      <c r="C244" s="43" t="s">
        <v>40</v>
      </c>
      <c r="D244" s="44"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44"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44"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44"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44"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44"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44"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140"/>
      <c r="C245" s="41" t="s">
        <v>41</v>
      </c>
      <c r="D245" s="45" t="e">
        <f t="shared" ca="1" si="74"/>
        <v>#REF!</v>
      </c>
      <c r="E245" s="45" t="e">
        <f t="shared" ca="1" si="75"/>
        <v>#REF!</v>
      </c>
      <c r="F245" s="45" t="e">
        <f t="shared" ca="1" si="76"/>
        <v>#REF!</v>
      </c>
      <c r="G245" s="45" t="e">
        <f t="shared" ca="1" si="77"/>
        <v>#REF!</v>
      </c>
      <c r="H245" s="45" t="e">
        <f t="shared" ca="1" si="78"/>
        <v>#REF!</v>
      </c>
      <c r="I245" s="45" t="e">
        <f t="shared" ca="1" si="79"/>
        <v>#REF!</v>
      </c>
      <c r="J245" s="45" t="e">
        <f t="shared" ca="1" si="80"/>
        <v>#REF!</v>
      </c>
    </row>
    <row r="246" spans="2:11" x14ac:dyDescent="0.2">
      <c r="B246" s="140"/>
      <c r="C246" s="41" t="s">
        <v>52</v>
      </c>
      <c r="D246" s="45" t="e">
        <f t="shared" ca="1" si="74"/>
        <v>#REF!</v>
      </c>
      <c r="E246" s="45" t="e">
        <f t="shared" ca="1" si="75"/>
        <v>#REF!</v>
      </c>
      <c r="F246" s="45" t="e">
        <f t="shared" ca="1" si="76"/>
        <v>#REF!</v>
      </c>
      <c r="G246" s="45" t="e">
        <f t="shared" ca="1" si="77"/>
        <v>#REF!</v>
      </c>
      <c r="H246" s="45" t="e">
        <f t="shared" ca="1" si="78"/>
        <v>#REF!</v>
      </c>
      <c r="I246" s="45" t="e">
        <f t="shared" ca="1" si="79"/>
        <v>#REF!</v>
      </c>
      <c r="J246" s="45" t="e">
        <f t="shared" ca="1" si="80"/>
        <v>#REF!</v>
      </c>
    </row>
    <row r="247" spans="2:11" x14ac:dyDescent="0.2">
      <c r="B247" s="140"/>
      <c r="C247" s="41" t="s">
        <v>119</v>
      </c>
      <c r="D247" s="45" t="e">
        <f t="shared" ca="1" si="74"/>
        <v>#REF!</v>
      </c>
      <c r="E247" s="45" t="e">
        <f t="shared" ca="1" si="75"/>
        <v>#REF!</v>
      </c>
      <c r="F247" s="45" t="e">
        <f t="shared" ca="1" si="76"/>
        <v>#REF!</v>
      </c>
      <c r="G247" s="45" t="e">
        <f t="shared" ca="1" si="77"/>
        <v>#REF!</v>
      </c>
      <c r="H247" s="45" t="e">
        <f t="shared" ca="1" si="78"/>
        <v>#REF!</v>
      </c>
      <c r="I247" s="45" t="e">
        <f t="shared" ca="1" si="79"/>
        <v>#REF!</v>
      </c>
      <c r="J247" s="45" t="e">
        <f t="shared" ca="1" si="80"/>
        <v>#REF!</v>
      </c>
    </row>
    <row r="248" spans="2:11" x14ac:dyDescent="0.2">
      <c r="B248" s="140"/>
      <c r="C248" s="41" t="s">
        <v>42</v>
      </c>
      <c r="D248" s="45" t="e">
        <f t="shared" ca="1" si="74"/>
        <v>#REF!</v>
      </c>
      <c r="E248" s="45" t="e">
        <f t="shared" ca="1" si="75"/>
        <v>#REF!</v>
      </c>
      <c r="F248" s="45" t="e">
        <f t="shared" ca="1" si="76"/>
        <v>#REF!</v>
      </c>
      <c r="G248" s="45" t="e">
        <f t="shared" ca="1" si="77"/>
        <v>#REF!</v>
      </c>
      <c r="H248" s="45" t="e">
        <f t="shared" ca="1" si="78"/>
        <v>#REF!</v>
      </c>
      <c r="I248" s="45" t="e">
        <f t="shared" ca="1" si="79"/>
        <v>#REF!</v>
      </c>
      <c r="J248" s="45" t="e">
        <f t="shared" ca="1" si="80"/>
        <v>#REF!</v>
      </c>
    </row>
    <row r="249" spans="2:11" x14ac:dyDescent="0.2">
      <c r="B249" s="140"/>
      <c r="C249" s="41" t="s">
        <v>43</v>
      </c>
      <c r="D249" s="45" t="e">
        <f t="shared" ca="1" si="74"/>
        <v>#REF!</v>
      </c>
      <c r="E249" s="45" t="e">
        <f t="shared" ca="1" si="75"/>
        <v>#REF!</v>
      </c>
      <c r="F249" s="45" t="e">
        <f t="shared" ca="1" si="76"/>
        <v>#REF!</v>
      </c>
      <c r="G249" s="45" t="e">
        <f t="shared" ca="1" si="77"/>
        <v>#REF!</v>
      </c>
      <c r="H249" s="45" t="e">
        <f t="shared" ca="1" si="78"/>
        <v>#REF!</v>
      </c>
      <c r="I249" s="45" t="e">
        <f t="shared" ca="1" si="79"/>
        <v>#REF!</v>
      </c>
      <c r="J249" s="45" t="e">
        <f t="shared" ca="1" si="80"/>
        <v>#REF!</v>
      </c>
    </row>
    <row r="250" spans="2:11" x14ac:dyDescent="0.2">
      <c r="B250" s="140"/>
      <c r="C250" s="41" t="s">
        <v>44</v>
      </c>
      <c r="D250" s="45" t="e">
        <f t="shared" ca="1" si="74"/>
        <v>#REF!</v>
      </c>
      <c r="E250" s="45" t="e">
        <f t="shared" ca="1" si="75"/>
        <v>#REF!</v>
      </c>
      <c r="F250" s="45" t="e">
        <f t="shared" ca="1" si="76"/>
        <v>#REF!</v>
      </c>
      <c r="G250" s="45" t="e">
        <f t="shared" ca="1" si="77"/>
        <v>#REF!</v>
      </c>
      <c r="H250" s="45" t="e">
        <f t="shared" ca="1" si="78"/>
        <v>#REF!</v>
      </c>
      <c r="I250" s="45" t="e">
        <f t="shared" ca="1" si="79"/>
        <v>#REF!</v>
      </c>
      <c r="J250" s="45" t="e">
        <f t="shared" ca="1" si="80"/>
        <v>#REF!</v>
      </c>
    </row>
    <row r="251" spans="2:11" x14ac:dyDescent="0.2">
      <c r="B251" s="140"/>
      <c r="C251" s="41" t="s">
        <v>111</v>
      </c>
      <c r="D251" s="45" t="e">
        <f t="shared" ca="1" si="74"/>
        <v>#REF!</v>
      </c>
      <c r="E251" s="45" t="e">
        <f t="shared" ca="1" si="75"/>
        <v>#REF!</v>
      </c>
      <c r="F251" s="45" t="e">
        <f t="shared" ca="1" si="76"/>
        <v>#REF!</v>
      </c>
      <c r="G251" s="45" t="e">
        <f t="shared" ca="1" si="77"/>
        <v>#REF!</v>
      </c>
      <c r="H251" s="45" t="e">
        <f t="shared" ca="1" si="78"/>
        <v>#REF!</v>
      </c>
      <c r="I251" s="45" t="e">
        <f t="shared" ca="1" si="79"/>
        <v>#REF!</v>
      </c>
      <c r="J251" s="45" t="e">
        <f t="shared" ca="1" si="80"/>
        <v>#REF!</v>
      </c>
    </row>
    <row r="252" spans="2:11" x14ac:dyDescent="0.2">
      <c r="B252" s="140"/>
      <c r="C252" s="41" t="s">
        <v>45</v>
      </c>
      <c r="D252" s="45" t="e">
        <f t="shared" ca="1" si="74"/>
        <v>#REF!</v>
      </c>
      <c r="E252" s="45" t="e">
        <f t="shared" ca="1" si="75"/>
        <v>#REF!</v>
      </c>
      <c r="F252" s="45" t="e">
        <f t="shared" ca="1" si="76"/>
        <v>#REF!</v>
      </c>
      <c r="G252" s="45" t="e">
        <f t="shared" ca="1" si="77"/>
        <v>#REF!</v>
      </c>
      <c r="H252" s="45" t="e">
        <f t="shared" ca="1" si="78"/>
        <v>#REF!</v>
      </c>
      <c r="I252" s="45" t="e">
        <f t="shared" ca="1" si="79"/>
        <v>#REF!</v>
      </c>
      <c r="J252" s="45" t="e">
        <f t="shared" ca="1" si="80"/>
        <v>#REF!</v>
      </c>
    </row>
    <row r="253" spans="2:11" x14ac:dyDescent="0.2">
      <c r="B253" s="140"/>
      <c r="C253" s="41" t="s">
        <v>46</v>
      </c>
      <c r="D253" s="45" t="e">
        <f t="shared" ca="1" si="74"/>
        <v>#REF!</v>
      </c>
      <c r="E253" s="45" t="e">
        <f t="shared" ca="1" si="75"/>
        <v>#REF!</v>
      </c>
      <c r="F253" s="45" t="e">
        <f t="shared" ca="1" si="76"/>
        <v>#REF!</v>
      </c>
      <c r="G253" s="45" t="e">
        <f t="shared" ca="1" si="77"/>
        <v>#REF!</v>
      </c>
      <c r="H253" s="45" t="e">
        <f t="shared" ca="1" si="78"/>
        <v>#REF!</v>
      </c>
      <c r="I253" s="45" t="e">
        <f t="shared" ca="1" si="79"/>
        <v>#REF!</v>
      </c>
      <c r="J253" s="45" t="e">
        <f t="shared" ca="1" si="80"/>
        <v>#REF!</v>
      </c>
    </row>
    <row r="254" spans="2:11" x14ac:dyDescent="0.2">
      <c r="B254" s="140"/>
      <c r="C254" s="41" t="s">
        <v>47</v>
      </c>
      <c r="D254" s="45" t="e">
        <f t="shared" ca="1" si="74"/>
        <v>#REF!</v>
      </c>
      <c r="E254" s="45" t="e">
        <f t="shared" ca="1" si="75"/>
        <v>#REF!</v>
      </c>
      <c r="F254" s="45" t="e">
        <f t="shared" ca="1" si="76"/>
        <v>#REF!</v>
      </c>
      <c r="G254" s="45" t="e">
        <f t="shared" ca="1" si="77"/>
        <v>#REF!</v>
      </c>
      <c r="H254" s="45" t="e">
        <f t="shared" ca="1" si="78"/>
        <v>#REF!</v>
      </c>
      <c r="I254" s="45" t="e">
        <f t="shared" ca="1" si="79"/>
        <v>#REF!</v>
      </c>
      <c r="J254" s="45" t="e">
        <f t="shared" ca="1" si="80"/>
        <v>#REF!</v>
      </c>
    </row>
    <row r="255" spans="2:11" x14ac:dyDescent="0.2">
      <c r="B255" s="140"/>
      <c r="C255" s="41" t="s">
        <v>48</v>
      </c>
      <c r="D255" s="45" t="e">
        <f t="shared" ca="1" si="74"/>
        <v>#REF!</v>
      </c>
      <c r="E255" s="45" t="e">
        <f t="shared" ca="1" si="75"/>
        <v>#REF!</v>
      </c>
      <c r="F255" s="45" t="e">
        <f t="shared" ca="1" si="76"/>
        <v>#REF!</v>
      </c>
      <c r="G255" s="45" t="e">
        <f t="shared" ca="1" si="77"/>
        <v>#REF!</v>
      </c>
      <c r="H255" s="45" t="e">
        <f t="shared" ca="1" si="78"/>
        <v>#REF!</v>
      </c>
      <c r="I255" s="45" t="e">
        <f t="shared" ca="1" si="79"/>
        <v>#REF!</v>
      </c>
      <c r="J255" s="45" t="e">
        <f t="shared" ca="1" si="80"/>
        <v>#REF!</v>
      </c>
    </row>
    <row r="256" spans="2:11" x14ac:dyDescent="0.2">
      <c r="B256" s="140"/>
      <c r="C256" s="41" t="s">
        <v>53</v>
      </c>
      <c r="D256" s="45" t="e">
        <f t="shared" ca="1" si="74"/>
        <v>#REF!</v>
      </c>
      <c r="E256" s="45" t="e">
        <f t="shared" ca="1" si="75"/>
        <v>#REF!</v>
      </c>
      <c r="F256" s="45" t="e">
        <f t="shared" ca="1" si="76"/>
        <v>#REF!</v>
      </c>
      <c r="G256" s="45" t="e">
        <f t="shared" ca="1" si="77"/>
        <v>#REF!</v>
      </c>
      <c r="H256" s="45" t="e">
        <f t="shared" ca="1" si="78"/>
        <v>#REF!</v>
      </c>
      <c r="I256" s="45" t="e">
        <f t="shared" ca="1" si="79"/>
        <v>#REF!</v>
      </c>
      <c r="J256" s="45" t="e">
        <f t="shared" ca="1" si="80"/>
        <v>#REF!</v>
      </c>
    </row>
    <row r="257" spans="2:10" x14ac:dyDescent="0.2">
      <c r="B257" s="137" t="s">
        <v>132</v>
      </c>
      <c r="C257" s="42" t="s">
        <v>54</v>
      </c>
      <c r="D257" s="46" t="e">
        <f t="shared" ca="1" si="74"/>
        <v>#REF!</v>
      </c>
      <c r="E257" s="46" t="e">
        <f t="shared" ca="1" si="75"/>
        <v>#REF!</v>
      </c>
      <c r="F257" s="46" t="e">
        <f t="shared" ca="1" si="76"/>
        <v>#REF!</v>
      </c>
      <c r="G257" s="46" t="e">
        <f t="shared" ca="1" si="77"/>
        <v>#REF!</v>
      </c>
      <c r="H257" s="46" t="e">
        <f t="shared" ca="1" si="78"/>
        <v>#REF!</v>
      </c>
      <c r="I257" s="46" t="e">
        <f t="shared" ca="1" si="79"/>
        <v>#REF!</v>
      </c>
      <c r="J257" s="46" t="e">
        <f t="shared" ca="1" si="80"/>
        <v>#REF!</v>
      </c>
    </row>
    <row r="258" spans="2:10" x14ac:dyDescent="0.2">
      <c r="B258" s="137"/>
      <c r="C258" s="42" t="s">
        <v>55</v>
      </c>
      <c r="D258" s="46" t="e">
        <f t="shared" ca="1" si="74"/>
        <v>#REF!</v>
      </c>
      <c r="E258" s="46" t="e">
        <f t="shared" ca="1" si="75"/>
        <v>#REF!</v>
      </c>
      <c r="F258" s="46" t="e">
        <f t="shared" ca="1" si="76"/>
        <v>#REF!</v>
      </c>
      <c r="G258" s="46" t="e">
        <f t="shared" ca="1" si="77"/>
        <v>#REF!</v>
      </c>
      <c r="H258" s="46" t="e">
        <f t="shared" ca="1" si="78"/>
        <v>#REF!</v>
      </c>
      <c r="I258" s="46" t="e">
        <f t="shared" ca="1" si="79"/>
        <v>#REF!</v>
      </c>
      <c r="J258" s="46" t="e">
        <f t="shared" ca="1" si="80"/>
        <v>#REF!</v>
      </c>
    </row>
    <row r="259" spans="2:10" x14ac:dyDescent="0.2">
      <c r="B259" s="137"/>
      <c r="C259" s="42" t="s">
        <v>56</v>
      </c>
      <c r="D259" s="46" t="e">
        <f t="shared" ca="1" si="74"/>
        <v>#REF!</v>
      </c>
      <c r="E259" s="46" t="e">
        <f t="shared" ca="1" si="75"/>
        <v>#REF!</v>
      </c>
      <c r="F259" s="46" t="e">
        <f t="shared" ca="1" si="76"/>
        <v>#REF!</v>
      </c>
      <c r="G259" s="46" t="e">
        <f t="shared" ca="1" si="77"/>
        <v>#REF!</v>
      </c>
      <c r="H259" s="46" t="e">
        <f t="shared" ca="1" si="78"/>
        <v>#REF!</v>
      </c>
      <c r="I259" s="46" t="e">
        <f t="shared" ca="1" si="79"/>
        <v>#REF!</v>
      </c>
      <c r="J259" s="46" t="e">
        <f t="shared" ca="1" si="80"/>
        <v>#REF!</v>
      </c>
    </row>
    <row r="260" spans="2:10" x14ac:dyDescent="0.2">
      <c r="B260" s="137"/>
      <c r="C260" s="42" t="s">
        <v>57</v>
      </c>
      <c r="D260" s="46" t="e">
        <f t="shared" ca="1" si="74"/>
        <v>#REF!</v>
      </c>
      <c r="E260" s="46" t="e">
        <f t="shared" ca="1" si="75"/>
        <v>#REF!</v>
      </c>
      <c r="F260" s="46" t="e">
        <f t="shared" ca="1" si="76"/>
        <v>#REF!</v>
      </c>
      <c r="G260" s="46" t="e">
        <f t="shared" ca="1" si="77"/>
        <v>#REF!</v>
      </c>
      <c r="H260" s="46" t="e">
        <f t="shared" ca="1" si="78"/>
        <v>#REF!</v>
      </c>
      <c r="I260" s="46" t="e">
        <f t="shared" ca="1" si="79"/>
        <v>#REF!</v>
      </c>
      <c r="J260" s="46" t="e">
        <f t="shared" ca="1" si="80"/>
        <v>#REF!</v>
      </c>
    </row>
    <row r="261" spans="2:10" x14ac:dyDescent="0.2">
      <c r="B261" s="137"/>
      <c r="C261" s="42" t="s">
        <v>58</v>
      </c>
      <c r="D261" s="46" t="e">
        <f t="shared" ca="1" si="74"/>
        <v>#REF!</v>
      </c>
      <c r="E261" s="46" t="e">
        <f t="shared" ca="1" si="75"/>
        <v>#REF!</v>
      </c>
      <c r="F261" s="46" t="e">
        <f t="shared" ca="1" si="76"/>
        <v>#REF!</v>
      </c>
      <c r="G261" s="46" t="e">
        <f t="shared" ca="1" si="77"/>
        <v>#REF!</v>
      </c>
      <c r="H261" s="46" t="e">
        <f t="shared" ca="1" si="78"/>
        <v>#REF!</v>
      </c>
      <c r="I261" s="46" t="e">
        <f t="shared" ca="1" si="79"/>
        <v>#REF!</v>
      </c>
      <c r="J261" s="46" t="e">
        <f t="shared" ca="1" si="80"/>
        <v>#REF!</v>
      </c>
    </row>
    <row r="262" spans="2:10" x14ac:dyDescent="0.2">
      <c r="B262" s="137"/>
      <c r="C262" s="42" t="s">
        <v>0</v>
      </c>
      <c r="D262" s="46" t="e">
        <f t="shared" ca="1" si="74"/>
        <v>#REF!</v>
      </c>
      <c r="E262" s="46" t="e">
        <f t="shared" ca="1" si="75"/>
        <v>#REF!</v>
      </c>
      <c r="F262" s="46" t="e">
        <f t="shared" ca="1" si="76"/>
        <v>#REF!</v>
      </c>
      <c r="G262" s="46" t="e">
        <f t="shared" ca="1" si="77"/>
        <v>#REF!</v>
      </c>
      <c r="H262" s="46" t="e">
        <f t="shared" ca="1" si="78"/>
        <v>#REF!</v>
      </c>
      <c r="I262" s="46" t="e">
        <f t="shared" ca="1" si="79"/>
        <v>#REF!</v>
      </c>
      <c r="J262" s="46" t="e">
        <f t="shared" ca="1" si="80"/>
        <v>#REF!</v>
      </c>
    </row>
    <row r="263" spans="2:10" x14ac:dyDescent="0.2">
      <c r="B263" s="142" t="s">
        <v>106</v>
      </c>
      <c r="C263" s="69" t="s">
        <v>133</v>
      </c>
      <c r="D263" s="70" t="s">
        <v>174</v>
      </c>
      <c r="E263" s="70" t="s">
        <v>175</v>
      </c>
      <c r="F263" s="45"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45" t="e">
        <f t="shared" ca="1" si="77"/>
        <v>#REF!</v>
      </c>
      <c r="H263" s="45"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45"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45"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143"/>
      <c r="C264" s="69" t="s">
        <v>134</v>
      </c>
      <c r="D264" s="70" t="s">
        <v>176</v>
      </c>
      <c r="E264" s="70" t="s">
        <v>177</v>
      </c>
      <c r="F264" s="45"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45" t="e">
        <f t="shared" ca="1" si="77"/>
        <v>#REF!</v>
      </c>
      <c r="H264" s="45"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45"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45"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143"/>
      <c r="C265" s="41" t="s">
        <v>59</v>
      </c>
      <c r="D265" s="45"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45"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45"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45" t="e">
        <f t="shared" ca="1" si="77"/>
        <v>#REF!</v>
      </c>
      <c r="H265" s="45"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45"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45"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143"/>
      <c r="C266" s="69" t="s">
        <v>135</v>
      </c>
      <c r="D266" s="70" t="s">
        <v>178</v>
      </c>
      <c r="E266" s="70" t="s">
        <v>179</v>
      </c>
      <c r="F266" s="45"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45" t="e">
        <f t="shared" ca="1" si="77"/>
        <v>#REF!</v>
      </c>
      <c r="H266" s="45"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45"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45"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143"/>
      <c r="C267" s="41" t="s">
        <v>60</v>
      </c>
      <c r="D267" s="45"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45"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45"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45" t="e">
        <f t="shared" ca="1" si="77"/>
        <v>#REF!</v>
      </c>
      <c r="H267" s="45"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45"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45"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143"/>
      <c r="C268" s="41" t="s">
        <v>61</v>
      </c>
      <c r="D268" s="45"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45" t="e">
        <f t="shared" ca="1" si="81"/>
        <v>#REF!</v>
      </c>
      <c r="F268" s="45" t="e">
        <f t="shared" ca="1" si="82"/>
        <v>#REF!</v>
      </c>
      <c r="G268" s="45" t="e">
        <f t="shared" ca="1" si="77"/>
        <v>#REF!</v>
      </c>
      <c r="H268" s="45" t="e">
        <f t="shared" ca="1" si="83"/>
        <v>#REF!</v>
      </c>
      <c r="I268" s="45" t="e">
        <f t="shared" ca="1" si="84"/>
        <v>#REF!</v>
      </c>
      <c r="J268" s="45" t="e">
        <f t="shared" ca="1" si="85"/>
        <v>#REF!</v>
      </c>
    </row>
    <row r="269" spans="2:10" x14ac:dyDescent="0.2">
      <c r="B269" s="141"/>
      <c r="C269" s="41" t="s">
        <v>180</v>
      </c>
      <c r="D269" s="45" t="s">
        <v>181</v>
      </c>
      <c r="E269" s="45" t="e">
        <f t="shared" ca="1" si="81"/>
        <v>#REF!</v>
      </c>
      <c r="F269" s="45" t="e">
        <f t="shared" ca="1" si="82"/>
        <v>#REF!</v>
      </c>
      <c r="G269" s="45" t="e">
        <f t="shared" ca="1" si="77"/>
        <v>#REF!</v>
      </c>
      <c r="H269" s="45" t="e">
        <f t="shared" ca="1" si="83"/>
        <v>#REF!</v>
      </c>
      <c r="I269" s="45" t="e">
        <f t="shared" ca="1" si="84"/>
        <v>#REF!</v>
      </c>
      <c r="J269" s="45" t="e">
        <f t="shared" ca="1" si="85"/>
        <v>#REF!</v>
      </c>
    </row>
    <row r="270" spans="2:10" x14ac:dyDescent="0.2">
      <c r="B270" s="137" t="s">
        <v>140</v>
      </c>
      <c r="C270" s="42" t="s">
        <v>63</v>
      </c>
      <c r="D270" s="46"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46" t="e">
        <f t="shared" ca="1" si="81"/>
        <v>#REF!</v>
      </c>
      <c r="F270" s="46" t="e">
        <f t="shared" ca="1" si="82"/>
        <v>#REF!</v>
      </c>
      <c r="G270" s="46" t="e">
        <f t="shared" ca="1" si="77"/>
        <v>#REF!</v>
      </c>
      <c r="H270" s="46" t="e">
        <f t="shared" ca="1" si="83"/>
        <v>#REF!</v>
      </c>
      <c r="I270" s="46" t="e">
        <f t="shared" ca="1" si="84"/>
        <v>#REF!</v>
      </c>
      <c r="J270" s="46" t="e">
        <f t="shared" ca="1" si="85"/>
        <v>#REF!</v>
      </c>
    </row>
    <row r="271" spans="2:10" x14ac:dyDescent="0.2">
      <c r="B271" s="137"/>
      <c r="C271" s="42" t="s">
        <v>65</v>
      </c>
      <c r="D271" s="46" t="e">
        <f t="shared" ca="1" si="86"/>
        <v>#REF!</v>
      </c>
      <c r="E271" s="46" t="e">
        <f t="shared" ca="1" si="81"/>
        <v>#REF!</v>
      </c>
      <c r="F271" s="46" t="e">
        <f t="shared" ca="1" si="82"/>
        <v>#REF!</v>
      </c>
      <c r="G271" s="46" t="e">
        <f t="shared" ca="1" si="77"/>
        <v>#REF!</v>
      </c>
      <c r="H271" s="46" t="e">
        <f t="shared" ca="1" si="83"/>
        <v>#REF!</v>
      </c>
      <c r="I271" s="46" t="e">
        <f t="shared" ca="1" si="84"/>
        <v>#REF!</v>
      </c>
      <c r="J271" s="46" t="e">
        <f t="shared" ca="1" si="85"/>
        <v>#REF!</v>
      </c>
    </row>
    <row r="272" spans="2:10" x14ac:dyDescent="0.2">
      <c r="B272" s="137"/>
      <c r="C272" s="42" t="s">
        <v>66</v>
      </c>
      <c r="D272" s="46" t="e">
        <f t="shared" ca="1" si="86"/>
        <v>#REF!</v>
      </c>
      <c r="E272" s="46" t="e">
        <f t="shared" ca="1" si="81"/>
        <v>#REF!</v>
      </c>
      <c r="F272" s="46" t="e">
        <f t="shared" ca="1" si="82"/>
        <v>#REF!</v>
      </c>
      <c r="G272" s="46" t="e">
        <f t="shared" ca="1" si="77"/>
        <v>#REF!</v>
      </c>
      <c r="H272" s="46" t="e">
        <f t="shared" ca="1" si="83"/>
        <v>#REF!</v>
      </c>
      <c r="I272" s="46" t="e">
        <f t="shared" ca="1" si="84"/>
        <v>#REF!</v>
      </c>
      <c r="J272" s="46" t="e">
        <f t="shared" ca="1" si="85"/>
        <v>#REF!</v>
      </c>
    </row>
    <row r="273" spans="2:10" x14ac:dyDescent="0.2">
      <c r="B273" s="137"/>
      <c r="C273" s="42" t="s">
        <v>67</v>
      </c>
      <c r="D273" s="46" t="e">
        <f t="shared" ca="1" si="86"/>
        <v>#REF!</v>
      </c>
      <c r="E273" s="46" t="e">
        <f t="shared" ca="1" si="81"/>
        <v>#REF!</v>
      </c>
      <c r="F273" s="46" t="e">
        <f t="shared" ca="1" si="82"/>
        <v>#REF!</v>
      </c>
      <c r="G273" s="46" t="e">
        <f t="shared" ca="1" si="77"/>
        <v>#REF!</v>
      </c>
      <c r="H273" s="46" t="e">
        <f t="shared" ca="1" si="83"/>
        <v>#REF!</v>
      </c>
      <c r="I273" s="46" t="e">
        <f t="shared" ca="1" si="84"/>
        <v>#REF!</v>
      </c>
      <c r="J273" s="46" t="e">
        <f t="shared" ca="1" si="85"/>
        <v>#REF!</v>
      </c>
    </row>
    <row r="274" spans="2:10" x14ac:dyDescent="0.2">
      <c r="B274" s="137"/>
      <c r="C274" s="42" t="s">
        <v>68</v>
      </c>
      <c r="D274" s="46" t="e">
        <f t="shared" ca="1" si="86"/>
        <v>#REF!</v>
      </c>
      <c r="E274" s="46" t="e">
        <f t="shared" ca="1" si="81"/>
        <v>#REF!</v>
      </c>
      <c r="F274" s="46" t="e">
        <f t="shared" ca="1" si="82"/>
        <v>#REF!</v>
      </c>
      <c r="G274" s="46" t="e">
        <f t="shared" ca="1" si="77"/>
        <v>#REF!</v>
      </c>
      <c r="H274" s="46" t="e">
        <f t="shared" ca="1" si="83"/>
        <v>#REF!</v>
      </c>
      <c r="I274" s="46" t="e">
        <f t="shared" ca="1" si="84"/>
        <v>#REF!</v>
      </c>
      <c r="J274" s="46" t="e">
        <f t="shared" ca="1" si="85"/>
        <v>#REF!</v>
      </c>
    </row>
    <row r="275" spans="2:10" x14ac:dyDescent="0.2">
      <c r="B275" s="137"/>
      <c r="C275" s="42" t="s">
        <v>69</v>
      </c>
      <c r="D275" s="46" t="e">
        <f t="shared" ca="1" si="86"/>
        <v>#REF!</v>
      </c>
      <c r="E275" s="46" t="e">
        <f t="shared" ca="1" si="81"/>
        <v>#REF!</v>
      </c>
      <c r="F275" s="46" t="e">
        <f t="shared" ca="1" si="82"/>
        <v>#REF!</v>
      </c>
      <c r="G275" s="46" t="e">
        <f t="shared" ca="1" si="77"/>
        <v>#REF!</v>
      </c>
      <c r="H275" s="46" t="e">
        <f t="shared" ca="1" si="83"/>
        <v>#REF!</v>
      </c>
      <c r="I275" s="46" t="e">
        <f t="shared" ca="1" si="84"/>
        <v>#REF!</v>
      </c>
      <c r="J275" s="46" t="e">
        <f t="shared" ca="1" si="85"/>
        <v>#REF!</v>
      </c>
    </row>
    <row r="276" spans="2:10" x14ac:dyDescent="0.2">
      <c r="B276" s="137"/>
      <c r="C276" s="42" t="s">
        <v>70</v>
      </c>
      <c r="D276" s="46" t="e">
        <f t="shared" ca="1" si="86"/>
        <v>#REF!</v>
      </c>
      <c r="E276" s="46" t="e">
        <f t="shared" ca="1" si="81"/>
        <v>#REF!</v>
      </c>
      <c r="F276" s="46" t="e">
        <f t="shared" ca="1" si="82"/>
        <v>#REF!</v>
      </c>
      <c r="G276" s="46" t="e">
        <f t="shared" ca="1" si="77"/>
        <v>#REF!</v>
      </c>
      <c r="H276" s="46" t="e">
        <f t="shared" ca="1" si="83"/>
        <v>#REF!</v>
      </c>
      <c r="I276" s="46" t="e">
        <f t="shared" ca="1" si="84"/>
        <v>#REF!</v>
      </c>
      <c r="J276" s="46" t="e">
        <f t="shared" ca="1" si="85"/>
        <v>#REF!</v>
      </c>
    </row>
    <row r="277" spans="2:10" x14ac:dyDescent="0.2">
      <c r="B277" s="137"/>
      <c r="C277" s="42" t="s">
        <v>71</v>
      </c>
      <c r="D277" s="46" t="e">
        <f t="shared" ca="1" si="86"/>
        <v>#REF!</v>
      </c>
      <c r="E277" s="46" t="e">
        <f t="shared" ca="1" si="81"/>
        <v>#REF!</v>
      </c>
      <c r="F277" s="46" t="e">
        <f t="shared" ca="1" si="82"/>
        <v>#REF!</v>
      </c>
      <c r="G277" s="46" t="e">
        <f t="shared" ca="1" si="77"/>
        <v>#REF!</v>
      </c>
      <c r="H277" s="46" t="e">
        <f t="shared" ca="1" si="83"/>
        <v>#REF!</v>
      </c>
      <c r="I277" s="46" t="e">
        <f t="shared" ca="1" si="84"/>
        <v>#REF!</v>
      </c>
      <c r="J277" s="46" t="e">
        <f t="shared" ca="1" si="85"/>
        <v>#REF!</v>
      </c>
    </row>
    <row r="278" spans="2:10" x14ac:dyDescent="0.2">
      <c r="B278" s="137"/>
      <c r="C278" s="42" t="s">
        <v>91</v>
      </c>
      <c r="D278" s="46" t="e">
        <f t="shared" ca="1" si="86"/>
        <v>#REF!</v>
      </c>
      <c r="E278" s="46" t="e">
        <f t="shared" ca="1" si="81"/>
        <v>#REF!</v>
      </c>
      <c r="F278" s="46" t="e">
        <f t="shared" ca="1" si="82"/>
        <v>#REF!</v>
      </c>
      <c r="G278" s="46" t="e">
        <f t="shared" ca="1" si="77"/>
        <v>#REF!</v>
      </c>
      <c r="H278" s="46" t="e">
        <f t="shared" ca="1" si="83"/>
        <v>#REF!</v>
      </c>
      <c r="I278" s="46" t="e">
        <f t="shared" ca="1" si="84"/>
        <v>#REF!</v>
      </c>
      <c r="J278" s="46" t="e">
        <f t="shared" ca="1" si="85"/>
        <v>#REF!</v>
      </c>
    </row>
    <row r="279" spans="2:10" x14ac:dyDescent="0.2">
      <c r="B279" s="137"/>
      <c r="C279" s="42" t="s">
        <v>72</v>
      </c>
      <c r="D279" s="46" t="e">
        <f t="shared" ca="1" si="86"/>
        <v>#REF!</v>
      </c>
      <c r="E279" s="46" t="e">
        <f t="shared" ca="1" si="81"/>
        <v>#REF!</v>
      </c>
      <c r="F279" s="46" t="e">
        <f t="shared" ca="1" si="82"/>
        <v>#REF!</v>
      </c>
      <c r="G279" s="46" t="e">
        <f t="shared" ca="1" si="77"/>
        <v>#REF!</v>
      </c>
      <c r="H279" s="46" t="e">
        <f t="shared" ca="1" si="83"/>
        <v>#REF!</v>
      </c>
      <c r="I279" s="46" t="e">
        <f t="shared" ca="1" si="84"/>
        <v>#REF!</v>
      </c>
      <c r="J279" s="46" t="e">
        <f t="shared" ca="1" si="85"/>
        <v>#REF!</v>
      </c>
    </row>
    <row r="280" spans="2:10" x14ac:dyDescent="0.2">
      <c r="B280" s="137"/>
      <c r="C280" s="42" t="s">
        <v>73</v>
      </c>
      <c r="D280" s="46" t="e">
        <f t="shared" ca="1" si="86"/>
        <v>#REF!</v>
      </c>
      <c r="E280" s="46" t="e">
        <f t="shared" ca="1" si="81"/>
        <v>#REF!</v>
      </c>
      <c r="F280" s="46" t="e">
        <f t="shared" ca="1" si="82"/>
        <v>#REF!</v>
      </c>
      <c r="G280" s="46" t="e">
        <f t="shared" ca="1" si="77"/>
        <v>#REF!</v>
      </c>
      <c r="H280" s="46" t="e">
        <f t="shared" ca="1" si="83"/>
        <v>#REF!</v>
      </c>
      <c r="I280" s="46" t="e">
        <f t="shared" ca="1" si="84"/>
        <v>#REF!</v>
      </c>
      <c r="J280" s="46" t="e">
        <f t="shared" ca="1" si="85"/>
        <v>#REF!</v>
      </c>
    </row>
    <row r="281" spans="2:10" x14ac:dyDescent="0.2">
      <c r="B281" s="137"/>
      <c r="C281" s="42" t="s">
        <v>74</v>
      </c>
      <c r="D281" s="46" t="e">
        <f t="shared" ca="1" si="86"/>
        <v>#REF!</v>
      </c>
      <c r="E281" s="46" t="e">
        <f t="shared" ca="1" si="81"/>
        <v>#REF!</v>
      </c>
      <c r="F281" s="46" t="e">
        <f t="shared" ca="1" si="82"/>
        <v>#REF!</v>
      </c>
      <c r="G281" s="46" t="e">
        <f t="shared" ca="1" si="77"/>
        <v>#REF!</v>
      </c>
      <c r="H281" s="46" t="e">
        <f t="shared" ca="1" si="83"/>
        <v>#REF!</v>
      </c>
      <c r="I281" s="46" t="e">
        <f t="shared" ca="1" si="84"/>
        <v>#REF!</v>
      </c>
      <c r="J281" s="46" t="e">
        <f t="shared" ca="1" si="85"/>
        <v>#REF!</v>
      </c>
    </row>
    <row r="282" spans="2:10" x14ac:dyDescent="0.2">
      <c r="B282" s="137"/>
      <c r="C282" s="77" t="s">
        <v>138</v>
      </c>
      <c r="D282" s="78" t="s">
        <v>182</v>
      </c>
      <c r="E282" s="78" t="s">
        <v>183</v>
      </c>
      <c r="F282" s="46"/>
      <c r="G282" s="46"/>
      <c r="H282" s="46"/>
      <c r="I282" s="46"/>
      <c r="J282" s="46"/>
    </row>
    <row r="283" spans="2:10" x14ac:dyDescent="0.2">
      <c r="B283" s="137"/>
      <c r="C283" s="42" t="s">
        <v>64</v>
      </c>
      <c r="D283" s="46"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46"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46"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46"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46"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46"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46"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137"/>
      <c r="C284" s="42" t="s">
        <v>126</v>
      </c>
      <c r="D284" s="46" t="e">
        <f t="shared" ca="1" si="87"/>
        <v>#REF!</v>
      </c>
      <c r="E284" s="46" t="e">
        <f t="shared" ca="1" si="88"/>
        <v>#REF!</v>
      </c>
      <c r="F284" s="46" t="e">
        <f t="shared" ca="1" si="89"/>
        <v>#REF!</v>
      </c>
      <c r="G284" s="46" t="e">
        <f t="shared" ca="1" si="90"/>
        <v>#REF!</v>
      </c>
      <c r="H284" s="46" t="e">
        <f t="shared" ca="1" si="91"/>
        <v>#REF!</v>
      </c>
      <c r="I284" s="46" t="e">
        <f t="shared" ca="1" si="92"/>
        <v>#REF!</v>
      </c>
      <c r="J284" s="46" t="e">
        <f t="shared" ca="1" si="93"/>
        <v>#REF!</v>
      </c>
    </row>
    <row r="285" spans="2:10" ht="25.5" x14ac:dyDescent="0.2">
      <c r="B285" s="48" t="s">
        <v>142</v>
      </c>
      <c r="C285" s="41" t="s">
        <v>9</v>
      </c>
      <c r="D285" s="45" t="e">
        <f t="shared" ca="1" si="87"/>
        <v>#REF!</v>
      </c>
      <c r="E285" s="45" t="e">
        <f t="shared" ca="1" si="88"/>
        <v>#REF!</v>
      </c>
      <c r="F285" s="45" t="e">
        <f t="shared" ca="1" si="89"/>
        <v>#REF!</v>
      </c>
      <c r="G285" s="45" t="e">
        <f t="shared" ca="1" si="90"/>
        <v>#REF!</v>
      </c>
      <c r="H285" s="45" t="e">
        <f t="shared" ca="1" si="91"/>
        <v>#REF!</v>
      </c>
      <c r="I285" s="45" t="e">
        <f t="shared" ca="1" si="92"/>
        <v>#REF!</v>
      </c>
      <c r="J285" s="45" t="e">
        <f t="shared" ca="1" si="93"/>
        <v>#REF!</v>
      </c>
    </row>
    <row r="286" spans="2:10" ht="12.75" customHeight="1" x14ac:dyDescent="0.2">
      <c r="B286" s="138" t="s">
        <v>143</v>
      </c>
      <c r="C286" s="42" t="s">
        <v>75</v>
      </c>
      <c r="D286" s="46" t="e">
        <f t="shared" ca="1" si="87"/>
        <v>#REF!</v>
      </c>
      <c r="E286" s="46" t="e">
        <f t="shared" ca="1" si="88"/>
        <v>#REF!</v>
      </c>
      <c r="F286" s="46" t="e">
        <f t="shared" ca="1" si="89"/>
        <v>#REF!</v>
      </c>
      <c r="G286" s="46" t="e">
        <f t="shared" ca="1" si="90"/>
        <v>#REF!</v>
      </c>
      <c r="H286" s="46" t="e">
        <f t="shared" ca="1" si="91"/>
        <v>#REF!</v>
      </c>
      <c r="I286" s="46" t="e">
        <f t="shared" ca="1" si="92"/>
        <v>#REF!</v>
      </c>
      <c r="J286" s="46" t="e">
        <f t="shared" ca="1" si="93"/>
        <v>#REF!</v>
      </c>
    </row>
    <row r="287" spans="2:10" x14ac:dyDescent="0.2">
      <c r="B287" s="147"/>
      <c r="C287" s="42" t="s">
        <v>76</v>
      </c>
      <c r="D287" s="46" t="e">
        <f t="shared" ca="1" si="87"/>
        <v>#REF!</v>
      </c>
      <c r="E287" s="46" t="e">
        <f t="shared" ca="1" si="88"/>
        <v>#REF!</v>
      </c>
      <c r="F287" s="46" t="e">
        <f t="shared" ca="1" si="89"/>
        <v>#REF!</v>
      </c>
      <c r="G287" s="46" t="e">
        <f t="shared" ca="1" si="90"/>
        <v>#REF!</v>
      </c>
      <c r="H287" s="46" t="e">
        <f t="shared" ca="1" si="91"/>
        <v>#REF!</v>
      </c>
      <c r="I287" s="46" t="e">
        <f t="shared" ca="1" si="92"/>
        <v>#REF!</v>
      </c>
      <c r="J287" s="46" t="e">
        <f t="shared" ca="1" si="93"/>
        <v>#REF!</v>
      </c>
    </row>
    <row r="288" spans="2:10" x14ac:dyDescent="0.2">
      <c r="B288" s="147"/>
      <c r="C288" s="42" t="s">
        <v>166</v>
      </c>
      <c r="D288" s="46" t="e">
        <f t="shared" ca="1" si="87"/>
        <v>#REF!</v>
      </c>
      <c r="E288" s="46" t="e">
        <f t="shared" ca="1" si="88"/>
        <v>#REF!</v>
      </c>
      <c r="F288" s="46" t="e">
        <f t="shared" ca="1" si="89"/>
        <v>#REF!</v>
      </c>
      <c r="G288" s="46" t="e">
        <f t="shared" ca="1" si="90"/>
        <v>#REF!</v>
      </c>
      <c r="H288" s="46" t="e">
        <f t="shared" ca="1" si="91"/>
        <v>#REF!</v>
      </c>
      <c r="I288" s="46" t="e">
        <f t="shared" ca="1" si="92"/>
        <v>#REF!</v>
      </c>
      <c r="J288" s="46" t="e">
        <f t="shared" ca="1" si="93"/>
        <v>#REF!</v>
      </c>
    </row>
    <row r="289" spans="2:10" x14ac:dyDescent="0.2">
      <c r="B289" s="147"/>
      <c r="C289" s="42" t="s">
        <v>78</v>
      </c>
      <c r="D289" s="46" t="e">
        <f t="shared" ca="1" si="87"/>
        <v>#REF!</v>
      </c>
      <c r="E289" s="46" t="e">
        <f t="shared" ca="1" si="88"/>
        <v>#REF!</v>
      </c>
      <c r="F289" s="46" t="e">
        <f t="shared" ca="1" si="89"/>
        <v>#REF!</v>
      </c>
      <c r="G289" s="46" t="e">
        <f t="shared" ca="1" si="90"/>
        <v>#REF!</v>
      </c>
      <c r="H289" s="46" t="e">
        <f t="shared" ca="1" si="91"/>
        <v>#REF!</v>
      </c>
      <c r="I289" s="46" t="e">
        <f t="shared" ca="1" si="92"/>
        <v>#REF!</v>
      </c>
      <c r="J289" s="46" t="e">
        <f t="shared" ca="1" si="93"/>
        <v>#REF!</v>
      </c>
    </row>
    <row r="290" spans="2:10" x14ac:dyDescent="0.2">
      <c r="B290" s="147"/>
      <c r="C290" s="42" t="s">
        <v>79</v>
      </c>
      <c r="D290" s="46" t="e">
        <f t="shared" ca="1" si="87"/>
        <v>#REF!</v>
      </c>
      <c r="E290" s="46" t="e">
        <f t="shared" ca="1" si="88"/>
        <v>#REF!</v>
      </c>
      <c r="F290" s="46" t="e">
        <f t="shared" ca="1" si="89"/>
        <v>#REF!</v>
      </c>
      <c r="G290" s="46" t="e">
        <f t="shared" ca="1" si="90"/>
        <v>#REF!</v>
      </c>
      <c r="H290" s="46" t="e">
        <f t="shared" ca="1" si="91"/>
        <v>#REF!</v>
      </c>
      <c r="I290" s="46" t="e">
        <f t="shared" ca="1" si="92"/>
        <v>#REF!</v>
      </c>
      <c r="J290" s="46" t="e">
        <f t="shared" ca="1" si="93"/>
        <v>#REF!</v>
      </c>
    </row>
    <row r="291" spans="2:10" x14ac:dyDescent="0.2">
      <c r="B291" s="147"/>
      <c r="C291" s="42" t="s">
        <v>165</v>
      </c>
      <c r="D291" s="46" t="e">
        <f t="shared" ca="1" si="87"/>
        <v>#REF!</v>
      </c>
      <c r="E291" s="46" t="e">
        <f t="shared" ca="1" si="88"/>
        <v>#REF!</v>
      </c>
      <c r="F291" s="46" t="e">
        <f t="shared" ca="1" si="89"/>
        <v>#REF!</v>
      </c>
      <c r="G291" s="46" t="e">
        <f t="shared" ca="1" si="90"/>
        <v>#REF!</v>
      </c>
      <c r="H291" s="46" t="e">
        <f t="shared" ca="1" si="91"/>
        <v>#REF!</v>
      </c>
      <c r="I291" s="46" t="e">
        <f t="shared" ca="1" si="92"/>
        <v>#REF!</v>
      </c>
      <c r="J291" s="46" t="e">
        <f t="shared" ca="1" si="93"/>
        <v>#REF!</v>
      </c>
    </row>
    <row r="292" spans="2:10" x14ac:dyDescent="0.2">
      <c r="B292" s="147"/>
      <c r="C292" s="42" t="s">
        <v>167</v>
      </c>
      <c r="D292" s="46" t="e">
        <f t="shared" ca="1" si="87"/>
        <v>#REF!</v>
      </c>
      <c r="E292" s="46" t="e">
        <f t="shared" ca="1" si="88"/>
        <v>#REF!</v>
      </c>
      <c r="F292" s="46" t="e">
        <f t="shared" ca="1" si="89"/>
        <v>#REF!</v>
      </c>
      <c r="G292" s="46" t="e">
        <f t="shared" ca="1" si="90"/>
        <v>#REF!</v>
      </c>
      <c r="H292" s="46" t="e">
        <f t="shared" ca="1" si="91"/>
        <v>#REF!</v>
      </c>
      <c r="I292" s="46" t="e">
        <f t="shared" ca="1" si="92"/>
        <v>#REF!</v>
      </c>
      <c r="J292" s="46" t="e">
        <f t="shared" ca="1" si="93"/>
        <v>#REF!</v>
      </c>
    </row>
    <row r="293" spans="2:10" x14ac:dyDescent="0.2">
      <c r="B293" s="147"/>
      <c r="C293" s="42" t="s">
        <v>82</v>
      </c>
      <c r="D293" s="46" t="e">
        <f t="shared" ca="1" si="87"/>
        <v>#REF!</v>
      </c>
      <c r="E293" s="46" t="e">
        <f t="shared" ca="1" si="88"/>
        <v>#REF!</v>
      </c>
      <c r="F293" s="46" t="e">
        <f t="shared" ca="1" si="89"/>
        <v>#REF!</v>
      </c>
      <c r="G293" s="46" t="e">
        <f t="shared" ca="1" si="90"/>
        <v>#REF!</v>
      </c>
      <c r="H293" s="46" t="e">
        <f t="shared" ca="1" si="91"/>
        <v>#REF!</v>
      </c>
      <c r="I293" s="46" t="e">
        <f t="shared" ca="1" si="92"/>
        <v>#REF!</v>
      </c>
      <c r="J293" s="46" t="e">
        <f t="shared" ca="1" si="93"/>
        <v>#REF!</v>
      </c>
    </row>
    <row r="294" spans="2:10" x14ac:dyDescent="0.2">
      <c r="B294" s="147"/>
      <c r="C294" s="42" t="s">
        <v>83</v>
      </c>
      <c r="D294" s="46" t="e">
        <f t="shared" ca="1" si="87"/>
        <v>#REF!</v>
      </c>
      <c r="E294" s="46" t="e">
        <f t="shared" ca="1" si="88"/>
        <v>#REF!</v>
      </c>
      <c r="F294" s="46" t="e">
        <f t="shared" ca="1" si="89"/>
        <v>#REF!</v>
      </c>
      <c r="G294" s="46" t="e">
        <f t="shared" ca="1" si="90"/>
        <v>#REF!</v>
      </c>
      <c r="H294" s="46" t="e">
        <f t="shared" ca="1" si="91"/>
        <v>#REF!</v>
      </c>
      <c r="I294" s="46" t="e">
        <f t="shared" ca="1" si="92"/>
        <v>#REF!</v>
      </c>
      <c r="J294" s="46" t="e">
        <f t="shared" ca="1" si="93"/>
        <v>#REF!</v>
      </c>
    </row>
    <row r="295" spans="2:10" ht="12.75" customHeight="1" x14ac:dyDescent="0.2">
      <c r="B295" s="142" t="s">
        <v>146</v>
      </c>
      <c r="C295" s="41" t="s">
        <v>147</v>
      </c>
      <c r="D295" s="45" t="e">
        <f t="shared" ca="1" si="87"/>
        <v>#REF!</v>
      </c>
      <c r="E295" s="45" t="e">
        <f t="shared" ca="1" si="88"/>
        <v>#REF!</v>
      </c>
      <c r="F295" s="45" t="e">
        <f t="shared" ca="1" si="89"/>
        <v>#REF!</v>
      </c>
      <c r="G295" s="45" t="e">
        <f t="shared" ca="1" si="90"/>
        <v>#REF!</v>
      </c>
      <c r="H295" s="45" t="e">
        <f t="shared" ca="1" si="91"/>
        <v>#REF!</v>
      </c>
      <c r="I295" s="45" t="e">
        <f t="shared" ca="1" si="92"/>
        <v>#REF!</v>
      </c>
      <c r="J295" s="45" t="e">
        <f t="shared" ca="1" si="93"/>
        <v>#REF!</v>
      </c>
    </row>
    <row r="296" spans="2:10" x14ac:dyDescent="0.2">
      <c r="B296" s="143"/>
      <c r="C296" s="41" t="s">
        <v>148</v>
      </c>
      <c r="D296" s="45" t="e">
        <f t="shared" ca="1" si="87"/>
        <v>#REF!</v>
      </c>
      <c r="E296" s="45" t="e">
        <f t="shared" ca="1" si="88"/>
        <v>#REF!</v>
      </c>
      <c r="F296" s="45" t="e">
        <f t="shared" ca="1" si="89"/>
        <v>#REF!</v>
      </c>
      <c r="G296" s="45" t="e">
        <f t="shared" ca="1" si="90"/>
        <v>#REF!</v>
      </c>
      <c r="H296" s="45" t="e">
        <f t="shared" ca="1" si="91"/>
        <v>#REF!</v>
      </c>
      <c r="I296" s="45" t="e">
        <f t="shared" ca="1" si="92"/>
        <v>#REF!</v>
      </c>
      <c r="J296" s="45" t="e">
        <f t="shared" ca="1" si="93"/>
        <v>#REF!</v>
      </c>
    </row>
    <row r="297" spans="2:10" x14ac:dyDescent="0.2">
      <c r="B297" s="143"/>
      <c r="C297" s="41" t="s">
        <v>84</v>
      </c>
      <c r="D297" s="45" t="e">
        <f t="shared" ca="1" si="87"/>
        <v>#REF!</v>
      </c>
      <c r="E297" s="45" t="e">
        <f t="shared" ca="1" si="88"/>
        <v>#REF!</v>
      </c>
      <c r="F297" s="45" t="e">
        <f t="shared" ca="1" si="89"/>
        <v>#REF!</v>
      </c>
      <c r="G297" s="45" t="e">
        <f t="shared" ca="1" si="90"/>
        <v>#REF!</v>
      </c>
      <c r="H297" s="45" t="e">
        <f t="shared" ca="1" si="91"/>
        <v>#REF!</v>
      </c>
      <c r="I297" s="45" t="e">
        <f t="shared" ca="1" si="92"/>
        <v>#REF!</v>
      </c>
      <c r="J297" s="45" t="e">
        <f t="shared" ca="1" si="93"/>
        <v>#REF!</v>
      </c>
    </row>
    <row r="298" spans="2:10" x14ac:dyDescent="0.2">
      <c r="B298" s="143"/>
      <c r="C298" s="41" t="s">
        <v>29</v>
      </c>
      <c r="D298" s="45" t="e">
        <f t="shared" ca="1" si="87"/>
        <v>#REF!</v>
      </c>
      <c r="E298" s="45" t="e">
        <f t="shared" ca="1" si="88"/>
        <v>#REF!</v>
      </c>
      <c r="F298" s="45" t="e">
        <f t="shared" ca="1" si="89"/>
        <v>#REF!</v>
      </c>
      <c r="G298" s="45" t="e">
        <f t="shared" ca="1" si="90"/>
        <v>#REF!</v>
      </c>
      <c r="H298" s="45" t="e">
        <f t="shared" ca="1" si="91"/>
        <v>#REF!</v>
      </c>
      <c r="I298" s="45" t="e">
        <f t="shared" ca="1" si="92"/>
        <v>#REF!</v>
      </c>
      <c r="J298" s="45" t="e">
        <f t="shared" ca="1" si="93"/>
        <v>#REF!</v>
      </c>
    </row>
    <row r="299" spans="2:10" x14ac:dyDescent="0.2">
      <c r="B299" s="143"/>
      <c r="C299" s="41" t="s">
        <v>36</v>
      </c>
      <c r="D299" s="45" t="e">
        <f t="shared" ca="1" si="87"/>
        <v>#REF!</v>
      </c>
      <c r="E299" s="45" t="e">
        <f t="shared" ca="1" si="88"/>
        <v>#REF!</v>
      </c>
      <c r="F299" s="45" t="e">
        <f t="shared" ca="1" si="89"/>
        <v>#REF!</v>
      </c>
      <c r="G299" s="45" t="e">
        <f t="shared" ca="1" si="90"/>
        <v>#REF!</v>
      </c>
      <c r="H299" s="45" t="e">
        <f t="shared" ca="1" si="91"/>
        <v>#REF!</v>
      </c>
      <c r="I299" s="45" t="e">
        <f t="shared" ca="1" si="92"/>
        <v>#REF!</v>
      </c>
      <c r="J299" s="45" t="e">
        <f t="shared" ca="1" si="93"/>
        <v>#REF!</v>
      </c>
    </row>
    <row r="300" spans="2:10" ht="12.75" customHeight="1" x14ac:dyDescent="0.2">
      <c r="B300" s="143"/>
      <c r="C300" s="41" t="s">
        <v>30</v>
      </c>
      <c r="D300" s="45" t="e">
        <f t="shared" ca="1" si="87"/>
        <v>#REF!</v>
      </c>
      <c r="E300" s="45" t="e">
        <f t="shared" ca="1" si="88"/>
        <v>#REF!</v>
      </c>
      <c r="F300" s="45" t="e">
        <f t="shared" ca="1" si="89"/>
        <v>#REF!</v>
      </c>
      <c r="G300" s="45" t="e">
        <f t="shared" ca="1" si="90"/>
        <v>#REF!</v>
      </c>
      <c r="H300" s="45" t="e">
        <f t="shared" ca="1" si="91"/>
        <v>#REF!</v>
      </c>
      <c r="I300" s="45" t="e">
        <f t="shared" ca="1" si="92"/>
        <v>#REF!</v>
      </c>
      <c r="J300" s="45" t="e">
        <f t="shared" ca="1" si="93"/>
        <v>#REF!</v>
      </c>
    </row>
    <row r="301" spans="2:10" x14ac:dyDescent="0.2">
      <c r="B301" s="143"/>
      <c r="C301" s="41" t="s">
        <v>85</v>
      </c>
      <c r="D301" s="45" t="e">
        <f t="shared" ca="1" si="87"/>
        <v>#REF!</v>
      </c>
      <c r="E301" s="45" t="e">
        <f t="shared" ca="1" si="88"/>
        <v>#REF!</v>
      </c>
      <c r="F301" s="45" t="e">
        <f t="shared" ca="1" si="89"/>
        <v>#REF!</v>
      </c>
      <c r="G301" s="45" t="e">
        <f t="shared" ca="1" si="90"/>
        <v>#REF!</v>
      </c>
      <c r="H301" s="45" t="e">
        <f t="shared" ca="1" si="91"/>
        <v>#REF!</v>
      </c>
      <c r="I301" s="45" t="e">
        <f t="shared" ca="1" si="92"/>
        <v>#REF!</v>
      </c>
      <c r="J301" s="45" t="e">
        <f t="shared" ca="1" si="93"/>
        <v>#REF!</v>
      </c>
    </row>
    <row r="302" spans="2:10" x14ac:dyDescent="0.2">
      <c r="B302" s="143"/>
      <c r="C302" s="41" t="s">
        <v>28</v>
      </c>
      <c r="D302" s="45" t="e">
        <f t="shared" ca="1" si="87"/>
        <v>#REF!</v>
      </c>
      <c r="E302" s="45" t="e">
        <f t="shared" ca="1" si="88"/>
        <v>#REF!</v>
      </c>
      <c r="F302" s="45" t="e">
        <f t="shared" ca="1" si="89"/>
        <v>#REF!</v>
      </c>
      <c r="G302" s="45" t="e">
        <f t="shared" ca="1" si="90"/>
        <v>#REF!</v>
      </c>
      <c r="H302" s="45" t="e">
        <f t="shared" ca="1" si="91"/>
        <v>#REF!</v>
      </c>
      <c r="I302" s="45" t="e">
        <f t="shared" ca="1" si="92"/>
        <v>#REF!</v>
      </c>
      <c r="J302" s="45" t="e">
        <f t="shared" ca="1" si="93"/>
        <v>#REF!</v>
      </c>
    </row>
    <row r="303" spans="2:10" x14ac:dyDescent="0.2">
      <c r="B303" s="143"/>
      <c r="C303" s="41" t="s">
        <v>32</v>
      </c>
      <c r="D303" s="45" t="e">
        <f t="shared" ca="1" si="87"/>
        <v>#REF!</v>
      </c>
      <c r="E303" s="45" t="e">
        <f t="shared" ca="1" si="88"/>
        <v>#REF!</v>
      </c>
      <c r="F303" s="45" t="e">
        <f t="shared" ca="1" si="89"/>
        <v>#REF!</v>
      </c>
      <c r="G303" s="45" t="e">
        <f t="shared" ca="1" si="90"/>
        <v>#REF!</v>
      </c>
      <c r="H303" s="45" t="e">
        <f t="shared" ca="1" si="91"/>
        <v>#REF!</v>
      </c>
      <c r="I303" s="45" t="e">
        <f t="shared" ca="1" si="92"/>
        <v>#REF!</v>
      </c>
      <c r="J303" s="45" t="e">
        <f t="shared" ca="1" si="93"/>
        <v>#REF!</v>
      </c>
    </row>
    <row r="304" spans="2:10" x14ac:dyDescent="0.2">
      <c r="B304" s="143"/>
      <c r="C304" s="41" t="s">
        <v>86</v>
      </c>
      <c r="D304" s="45" t="e">
        <f t="shared" ca="1" si="87"/>
        <v>#REF!</v>
      </c>
      <c r="E304" s="45" t="e">
        <f t="shared" ca="1" si="88"/>
        <v>#REF!</v>
      </c>
      <c r="F304" s="45" t="e">
        <f t="shared" ca="1" si="89"/>
        <v>#REF!</v>
      </c>
      <c r="G304" s="45" t="e">
        <f t="shared" ca="1" si="90"/>
        <v>#REF!</v>
      </c>
      <c r="H304" s="45" t="e">
        <f t="shared" ca="1" si="91"/>
        <v>#REF!</v>
      </c>
      <c r="I304" s="45" t="e">
        <f t="shared" ca="1" si="92"/>
        <v>#REF!</v>
      </c>
      <c r="J304" s="45" t="e">
        <f t="shared" ca="1" si="93"/>
        <v>#REF!</v>
      </c>
    </row>
    <row r="305" spans="2:10" x14ac:dyDescent="0.2">
      <c r="B305" s="143"/>
      <c r="C305" s="41" t="s">
        <v>87</v>
      </c>
      <c r="D305" s="45" t="e">
        <f t="shared" ca="1" si="87"/>
        <v>#REF!</v>
      </c>
      <c r="E305" s="45" t="e">
        <f t="shared" ca="1" si="88"/>
        <v>#REF!</v>
      </c>
      <c r="F305" s="45" t="e">
        <f t="shared" ca="1" si="89"/>
        <v>#REF!</v>
      </c>
      <c r="G305" s="45" t="e">
        <f t="shared" ca="1" si="90"/>
        <v>#REF!</v>
      </c>
      <c r="H305" s="45" t="e">
        <f t="shared" ca="1" si="91"/>
        <v>#REF!</v>
      </c>
      <c r="I305" s="45" t="e">
        <f t="shared" ca="1" si="92"/>
        <v>#REF!</v>
      </c>
      <c r="J305" s="45" t="e">
        <f t="shared" ca="1" si="93"/>
        <v>#REF!</v>
      </c>
    </row>
    <row r="306" spans="2:10" x14ac:dyDescent="0.2">
      <c r="B306" s="143"/>
      <c r="C306" s="41" t="s">
        <v>170</v>
      </c>
      <c r="D306" s="45" t="e">
        <f t="shared" ca="1" si="87"/>
        <v>#REF!</v>
      </c>
      <c r="E306" s="45" t="e">
        <f t="shared" ca="1" si="88"/>
        <v>#REF!</v>
      </c>
      <c r="F306" s="45" t="e">
        <f t="shared" ca="1" si="89"/>
        <v>#REF!</v>
      </c>
      <c r="G306" s="45" t="e">
        <f t="shared" ca="1" si="90"/>
        <v>#REF!</v>
      </c>
      <c r="H306" s="45" t="e">
        <f t="shared" ca="1" si="91"/>
        <v>#REF!</v>
      </c>
      <c r="I306" s="45" t="e">
        <f t="shared" ca="1" si="92"/>
        <v>#REF!</v>
      </c>
      <c r="J306" s="45" t="e">
        <f t="shared" ca="1" si="93"/>
        <v>#REF!</v>
      </c>
    </row>
    <row r="307" spans="2:10" x14ac:dyDescent="0.2">
      <c r="B307" s="143"/>
      <c r="C307" s="41" t="s">
        <v>168</v>
      </c>
      <c r="D307" s="45" t="e">
        <f t="shared" ca="1" si="87"/>
        <v>#REF!</v>
      </c>
      <c r="E307" s="45" t="e">
        <f t="shared" ca="1" si="88"/>
        <v>#REF!</v>
      </c>
      <c r="F307" s="45" t="e">
        <f t="shared" ca="1" si="89"/>
        <v>#REF!</v>
      </c>
      <c r="G307" s="45" t="e">
        <f t="shared" ca="1" si="90"/>
        <v>#REF!</v>
      </c>
      <c r="H307" s="45" t="e">
        <f t="shared" ca="1" si="91"/>
        <v>#REF!</v>
      </c>
      <c r="I307" s="45" t="e">
        <f t="shared" ca="1" si="92"/>
        <v>#REF!</v>
      </c>
      <c r="J307" s="45" t="e">
        <f t="shared" ca="1" si="93"/>
        <v>#REF!</v>
      </c>
    </row>
    <row r="308" spans="2:10" x14ac:dyDescent="0.2">
      <c r="B308" s="143"/>
      <c r="C308" s="41" t="s">
        <v>169</v>
      </c>
      <c r="D308" s="45" t="e">
        <f t="shared" ca="1" si="87"/>
        <v>#REF!</v>
      </c>
      <c r="E308" s="45" t="e">
        <f t="shared" ca="1" si="88"/>
        <v>#REF!</v>
      </c>
      <c r="F308" s="45" t="e">
        <f t="shared" ca="1" si="89"/>
        <v>#REF!</v>
      </c>
      <c r="G308" s="45" t="e">
        <f t="shared" ca="1" si="90"/>
        <v>#REF!</v>
      </c>
      <c r="H308" s="45" t="e">
        <f t="shared" ca="1" si="91"/>
        <v>#REF!</v>
      </c>
      <c r="I308" s="45" t="e">
        <f t="shared" ca="1" si="92"/>
        <v>#REF!</v>
      </c>
      <c r="J308" s="45" t="e">
        <f t="shared" ca="1" si="93"/>
        <v>#REF!</v>
      </c>
    </row>
    <row r="309" spans="2:10" x14ac:dyDescent="0.2">
      <c r="B309" s="143"/>
      <c r="C309" s="41" t="s">
        <v>88</v>
      </c>
      <c r="D309" s="45" t="e">
        <f t="shared" ca="1" si="87"/>
        <v>#REF!</v>
      </c>
      <c r="E309" s="45" t="e">
        <f t="shared" ca="1" si="88"/>
        <v>#REF!</v>
      </c>
      <c r="F309" s="45" t="e">
        <f t="shared" ca="1" si="89"/>
        <v>#REF!</v>
      </c>
      <c r="G309" s="45" t="e">
        <f t="shared" ca="1" si="90"/>
        <v>#REF!</v>
      </c>
      <c r="H309" s="45" t="e">
        <f t="shared" ca="1" si="91"/>
        <v>#REF!</v>
      </c>
      <c r="I309" s="45" t="e">
        <f t="shared" ca="1" si="92"/>
        <v>#REF!</v>
      </c>
      <c r="J309" s="45" t="e">
        <f t="shared" ca="1" si="93"/>
        <v>#REF!</v>
      </c>
    </row>
    <row r="310" spans="2:10" x14ac:dyDescent="0.2">
      <c r="B310" s="143"/>
      <c r="C310" s="41" t="s">
        <v>31</v>
      </c>
      <c r="D310" s="45" t="e">
        <f t="shared" ca="1" si="87"/>
        <v>#REF!</v>
      </c>
      <c r="E310" s="45" t="e">
        <f t="shared" ca="1" si="88"/>
        <v>#REF!</v>
      </c>
      <c r="F310" s="45" t="e">
        <f t="shared" ca="1" si="89"/>
        <v>#REF!</v>
      </c>
      <c r="G310" s="45" t="e">
        <f t="shared" ca="1" si="90"/>
        <v>#REF!</v>
      </c>
      <c r="H310" s="45" t="e">
        <f t="shared" ca="1" si="91"/>
        <v>#REF!</v>
      </c>
      <c r="I310" s="45" t="e">
        <f t="shared" ca="1" si="92"/>
        <v>#REF!</v>
      </c>
      <c r="J310" s="45" t="e">
        <f t="shared" ca="1" si="93"/>
        <v>#REF!</v>
      </c>
    </row>
    <row r="311" spans="2:10" x14ac:dyDescent="0.2">
      <c r="B311" s="143"/>
      <c r="C311" s="41" t="s">
        <v>100</v>
      </c>
      <c r="D311" s="45" t="e">
        <f t="shared" ca="1" si="87"/>
        <v>#REF!</v>
      </c>
      <c r="E311" s="45" t="e">
        <f t="shared" ca="1" si="88"/>
        <v>#REF!</v>
      </c>
      <c r="F311" s="45" t="e">
        <f t="shared" ca="1" si="89"/>
        <v>#REF!</v>
      </c>
      <c r="G311" s="45" t="e">
        <f t="shared" ca="1" si="90"/>
        <v>#REF!</v>
      </c>
      <c r="H311" s="45" t="e">
        <f t="shared" ca="1" si="91"/>
        <v>#REF!</v>
      </c>
      <c r="I311" s="45" t="e">
        <f t="shared" ca="1" si="92"/>
        <v>#REF!</v>
      </c>
      <c r="J311" s="45" t="e">
        <f t="shared" ca="1" si="93"/>
        <v>#REF!</v>
      </c>
    </row>
    <row r="312" spans="2:10" x14ac:dyDescent="0.2">
      <c r="B312" s="143"/>
      <c r="C312" s="41" t="s">
        <v>187</v>
      </c>
      <c r="D312" s="45" t="e">
        <f t="shared" ca="1" si="87"/>
        <v>#REF!</v>
      </c>
      <c r="E312" s="45" t="e">
        <f t="shared" ca="1" si="88"/>
        <v>#REF!</v>
      </c>
      <c r="F312" s="45" t="e">
        <f t="shared" ca="1" si="89"/>
        <v>#REF!</v>
      </c>
      <c r="G312" s="45" t="e">
        <f t="shared" ca="1" si="90"/>
        <v>#REF!</v>
      </c>
      <c r="H312" s="45" t="e">
        <f t="shared" ca="1" si="91"/>
        <v>#REF!</v>
      </c>
      <c r="I312" s="45" t="e">
        <f t="shared" ca="1" si="92"/>
        <v>#REF!</v>
      </c>
      <c r="J312" s="45" t="e">
        <f t="shared" ca="1" si="93"/>
        <v>#REF!</v>
      </c>
    </row>
    <row r="313" spans="2:10" x14ac:dyDescent="0.2">
      <c r="B313" s="141"/>
      <c r="C313" s="41" t="s">
        <v>35</v>
      </c>
      <c r="D313" s="45" t="e">
        <f t="shared" ca="1" si="87"/>
        <v>#REF!</v>
      </c>
      <c r="E313" s="45" t="e">
        <f t="shared" ca="1" si="88"/>
        <v>#REF!</v>
      </c>
      <c r="F313" s="45" t="e">
        <f t="shared" ca="1" si="89"/>
        <v>#REF!</v>
      </c>
      <c r="G313" s="45" t="e">
        <f t="shared" ca="1" si="90"/>
        <v>#REF!</v>
      </c>
      <c r="H313" s="45" t="e">
        <f t="shared" ca="1" si="91"/>
        <v>#REF!</v>
      </c>
      <c r="I313" s="45" t="e">
        <f t="shared" ca="1" si="92"/>
        <v>#REF!</v>
      </c>
      <c r="J313" s="45" t="e">
        <f t="shared" ca="1" si="93"/>
        <v>#REF!</v>
      </c>
    </row>
    <row r="314" spans="2:10" ht="12.75" customHeight="1" x14ac:dyDescent="0.2">
      <c r="B314" s="138" t="s">
        <v>152</v>
      </c>
      <c r="C314" s="42" t="s">
        <v>37</v>
      </c>
      <c r="D314" s="46" t="e">
        <f t="shared" ca="1" si="87"/>
        <v>#REF!</v>
      </c>
      <c r="E314" s="46" t="e">
        <f t="shared" ca="1" si="88"/>
        <v>#REF!</v>
      </c>
      <c r="F314" s="46" t="e">
        <f t="shared" ca="1" si="89"/>
        <v>#REF!</v>
      </c>
      <c r="G314" s="46" t="e">
        <f t="shared" ca="1" si="90"/>
        <v>#REF!</v>
      </c>
      <c r="H314" s="46" t="e">
        <f t="shared" ca="1" si="91"/>
        <v>#REF!</v>
      </c>
      <c r="I314" s="46" t="e">
        <f t="shared" ca="1" si="92"/>
        <v>#REF!</v>
      </c>
      <c r="J314" s="46" t="e">
        <f t="shared" ca="1" si="93"/>
        <v>#REF!</v>
      </c>
    </row>
    <row r="315" spans="2:10" x14ac:dyDescent="0.2">
      <c r="B315" s="147"/>
      <c r="C315" s="77" t="s">
        <v>150</v>
      </c>
      <c r="D315" s="78" t="s">
        <v>185</v>
      </c>
      <c r="E315" s="78" t="s">
        <v>186</v>
      </c>
      <c r="F315" s="46"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46"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46"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46"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46"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147"/>
      <c r="C316" s="42" t="s">
        <v>117</v>
      </c>
      <c r="D316" s="46"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46"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46"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46" t="e">
        <f t="shared" ca="1" si="94"/>
        <v>#REF!</v>
      </c>
      <c r="H316" s="46"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46"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46"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147"/>
      <c r="C317" s="42" t="s">
        <v>39</v>
      </c>
      <c r="D317" s="46" t="e">
        <f t="shared" ca="1" si="95"/>
        <v>#REF!</v>
      </c>
      <c r="E317" s="46" t="e">
        <f t="shared" ca="1" si="96"/>
        <v>#REF!</v>
      </c>
      <c r="F317" s="46" t="e">
        <f t="shared" ca="1" si="97"/>
        <v>#REF!</v>
      </c>
      <c r="G317" s="46" t="e">
        <f t="shared" ca="1" si="94"/>
        <v>#REF!</v>
      </c>
      <c r="H317" s="46" t="e">
        <f t="shared" ca="1" si="98"/>
        <v>#REF!</v>
      </c>
      <c r="I317" s="46" t="e">
        <f t="shared" ca="1" si="99"/>
        <v>#REF!</v>
      </c>
      <c r="J317" s="46" t="e">
        <f t="shared" ca="1" si="100"/>
        <v>#REF!</v>
      </c>
    </row>
    <row r="318" spans="2:10" x14ac:dyDescent="0.2">
      <c r="B318" s="147"/>
      <c r="C318" s="42" t="s">
        <v>38</v>
      </c>
      <c r="D318" s="46" t="e">
        <f t="shared" ca="1" si="95"/>
        <v>#REF!</v>
      </c>
      <c r="E318" s="46" t="e">
        <f t="shared" ca="1" si="96"/>
        <v>#REF!</v>
      </c>
      <c r="F318" s="46" t="e">
        <f t="shared" ca="1" si="97"/>
        <v>#REF!</v>
      </c>
      <c r="G318" s="46" t="e">
        <f t="shared" ca="1" si="94"/>
        <v>#REF!</v>
      </c>
      <c r="H318" s="46" t="e">
        <f t="shared" ca="1" si="98"/>
        <v>#REF!</v>
      </c>
      <c r="I318" s="46" t="e">
        <f t="shared" ca="1" si="99"/>
        <v>#REF!</v>
      </c>
      <c r="J318" s="46" t="e">
        <f t="shared" ca="1" si="100"/>
        <v>#REF!</v>
      </c>
    </row>
    <row r="319" spans="2:10" x14ac:dyDescent="0.2">
      <c r="B319" s="147"/>
      <c r="C319" s="42" t="s">
        <v>118</v>
      </c>
      <c r="D319" s="46" t="e">
        <f t="shared" ca="1" si="95"/>
        <v>#REF!</v>
      </c>
      <c r="E319" s="46" t="e">
        <f t="shared" ca="1" si="96"/>
        <v>#REF!</v>
      </c>
      <c r="F319" s="46" t="e">
        <f t="shared" ca="1" si="97"/>
        <v>#REF!</v>
      </c>
      <c r="G319" s="46" t="e">
        <f t="shared" ca="1" si="94"/>
        <v>#REF!</v>
      </c>
      <c r="H319" s="46" t="e">
        <f t="shared" ca="1" si="98"/>
        <v>#REF!</v>
      </c>
      <c r="I319" s="46" t="e">
        <f t="shared" ca="1" si="99"/>
        <v>#REF!</v>
      </c>
      <c r="J319" s="46" t="e">
        <f t="shared" ca="1" si="100"/>
        <v>#REF!</v>
      </c>
    </row>
    <row r="320" spans="2:10" x14ac:dyDescent="0.2">
      <c r="B320" s="147"/>
      <c r="C320" s="42" t="s">
        <v>89</v>
      </c>
      <c r="D320" s="46" t="e">
        <f t="shared" ca="1" si="95"/>
        <v>#REF!</v>
      </c>
      <c r="E320" s="46" t="e">
        <f t="shared" ca="1" si="96"/>
        <v>#REF!</v>
      </c>
      <c r="F320" s="46" t="e">
        <f t="shared" ca="1" si="97"/>
        <v>#REF!</v>
      </c>
      <c r="G320" s="46" t="e">
        <f t="shared" ca="1" si="94"/>
        <v>#REF!</v>
      </c>
      <c r="H320" s="46" t="e">
        <f t="shared" ca="1" si="98"/>
        <v>#REF!</v>
      </c>
      <c r="I320" s="46" t="e">
        <f t="shared" ca="1" si="99"/>
        <v>#REF!</v>
      </c>
      <c r="J320" s="46" t="e">
        <f t="shared" ca="1" si="100"/>
        <v>#REF!</v>
      </c>
    </row>
    <row r="321" spans="2:10" x14ac:dyDescent="0.2">
      <c r="B321" s="147"/>
      <c r="C321" s="42" t="s">
        <v>151</v>
      </c>
      <c r="D321" s="46" t="e">
        <f t="shared" ca="1" si="95"/>
        <v>#REF!</v>
      </c>
      <c r="E321" s="46" t="e">
        <f t="shared" ca="1" si="96"/>
        <v>#REF!</v>
      </c>
      <c r="F321" s="46" t="e">
        <f t="shared" ca="1" si="97"/>
        <v>#REF!</v>
      </c>
      <c r="G321" s="46" t="e">
        <f t="shared" ca="1" si="94"/>
        <v>#REF!</v>
      </c>
      <c r="H321" s="46" t="e">
        <f t="shared" ca="1" si="98"/>
        <v>#REF!</v>
      </c>
      <c r="I321" s="46" t="e">
        <f t="shared" ca="1" si="99"/>
        <v>#REF!</v>
      </c>
      <c r="J321" s="46" t="e">
        <f t="shared" ca="1" si="100"/>
        <v>#REF!</v>
      </c>
    </row>
    <row r="322" spans="2:10" x14ac:dyDescent="0.2">
      <c r="B322" s="148"/>
      <c r="C322" s="77" t="s">
        <v>154</v>
      </c>
      <c r="D322" s="46" t="e">
        <f t="shared" ca="1" si="95"/>
        <v>#REF!</v>
      </c>
      <c r="E322" s="46" t="e">
        <f t="shared" ca="1" si="96"/>
        <v>#REF!</v>
      </c>
      <c r="F322" s="46" t="e">
        <f t="shared" ca="1" si="97"/>
        <v>#REF!</v>
      </c>
      <c r="G322" s="46" t="e">
        <f t="shared" ca="1" si="94"/>
        <v>#REF!</v>
      </c>
      <c r="H322" s="46" t="e">
        <f t="shared" ca="1" si="98"/>
        <v>#REF!</v>
      </c>
      <c r="I322" s="46" t="e">
        <f t="shared" ca="1" si="99"/>
        <v>#REF!</v>
      </c>
      <c r="J322" s="46" t="e">
        <f t="shared" ca="1" si="100"/>
        <v>#REF!</v>
      </c>
    </row>
    <row r="323" spans="2:10" ht="12.75" customHeight="1" x14ac:dyDescent="0.2">
      <c r="B323" s="140" t="s">
        <v>153</v>
      </c>
      <c r="C323" s="41" t="s">
        <v>37</v>
      </c>
      <c r="D323" s="45" t="e">
        <f t="shared" ca="1" si="95"/>
        <v>#REF!</v>
      </c>
      <c r="E323" s="45" t="e">
        <f t="shared" ca="1" si="96"/>
        <v>#REF!</v>
      </c>
      <c r="F323" s="45" t="e">
        <f t="shared" ca="1" si="97"/>
        <v>#REF!</v>
      </c>
      <c r="G323" s="45" t="e">
        <f t="shared" ca="1" si="94"/>
        <v>#REF!</v>
      </c>
      <c r="H323" s="45" t="e">
        <f t="shared" ca="1" si="98"/>
        <v>#REF!</v>
      </c>
      <c r="I323" s="45" t="e">
        <f t="shared" ca="1" si="99"/>
        <v>#REF!</v>
      </c>
      <c r="J323" s="45" t="e">
        <f t="shared" ca="1" si="100"/>
        <v>#REF!</v>
      </c>
    </row>
    <row r="324" spans="2:10" x14ac:dyDescent="0.2">
      <c r="B324" s="140"/>
      <c r="C324" s="41" t="s">
        <v>150</v>
      </c>
      <c r="D324" s="45" t="e">
        <f t="shared" ca="1" si="95"/>
        <v>#REF!</v>
      </c>
      <c r="E324" s="45" t="e">
        <f t="shared" ca="1" si="96"/>
        <v>#REF!</v>
      </c>
      <c r="F324" s="45" t="e">
        <f t="shared" ca="1" si="97"/>
        <v>#REF!</v>
      </c>
      <c r="G324" s="45" t="e">
        <f t="shared" ca="1" si="94"/>
        <v>#REF!</v>
      </c>
      <c r="H324" s="45" t="e">
        <f t="shared" ca="1" si="98"/>
        <v>#REF!</v>
      </c>
      <c r="I324" s="45" t="e">
        <f t="shared" ca="1" si="99"/>
        <v>#REF!</v>
      </c>
      <c r="J324" s="45" t="e">
        <f t="shared" ca="1" si="100"/>
        <v>#REF!</v>
      </c>
    </row>
    <row r="325" spans="2:10" x14ac:dyDescent="0.2">
      <c r="B325" s="140"/>
      <c r="C325" s="41" t="s">
        <v>117</v>
      </c>
      <c r="D325" s="45" t="e">
        <f t="shared" ca="1" si="95"/>
        <v>#REF!</v>
      </c>
      <c r="E325" s="45" t="e">
        <f t="shared" ca="1" si="96"/>
        <v>#REF!</v>
      </c>
      <c r="F325" s="45" t="e">
        <f t="shared" ca="1" si="97"/>
        <v>#REF!</v>
      </c>
      <c r="G325" s="45" t="e">
        <f t="shared" ca="1" si="94"/>
        <v>#REF!</v>
      </c>
      <c r="H325" s="45" t="e">
        <f t="shared" ca="1" si="98"/>
        <v>#REF!</v>
      </c>
      <c r="I325" s="45" t="e">
        <f t="shared" ca="1" si="99"/>
        <v>#REF!</v>
      </c>
      <c r="J325" s="45" t="e">
        <f t="shared" ca="1" si="100"/>
        <v>#REF!</v>
      </c>
    </row>
    <row r="326" spans="2:10" x14ac:dyDescent="0.2">
      <c r="B326" s="140"/>
      <c r="C326" s="41" t="s">
        <v>39</v>
      </c>
      <c r="D326" s="45" t="e">
        <f t="shared" ca="1" si="95"/>
        <v>#REF!</v>
      </c>
      <c r="E326" s="45" t="e">
        <f t="shared" ca="1" si="96"/>
        <v>#REF!</v>
      </c>
      <c r="F326" s="45" t="e">
        <f t="shared" ca="1" si="97"/>
        <v>#REF!</v>
      </c>
      <c r="G326" s="45" t="e">
        <f t="shared" ca="1" si="94"/>
        <v>#REF!</v>
      </c>
      <c r="H326" s="45" t="e">
        <f t="shared" ca="1" si="98"/>
        <v>#REF!</v>
      </c>
      <c r="I326" s="45" t="e">
        <f t="shared" ca="1" si="99"/>
        <v>#REF!</v>
      </c>
      <c r="J326" s="45" t="e">
        <f t="shared" ca="1" si="100"/>
        <v>#REF!</v>
      </c>
    </row>
    <row r="327" spans="2:10" x14ac:dyDescent="0.2">
      <c r="B327" s="140"/>
      <c r="C327" s="41" t="s">
        <v>38</v>
      </c>
      <c r="D327" s="45" t="e">
        <f t="shared" ca="1" si="95"/>
        <v>#REF!</v>
      </c>
      <c r="E327" s="45" t="e">
        <f t="shared" ca="1" si="96"/>
        <v>#REF!</v>
      </c>
      <c r="F327" s="45" t="e">
        <f t="shared" ca="1" si="97"/>
        <v>#REF!</v>
      </c>
      <c r="G327" s="45" t="e">
        <f t="shared" ca="1" si="94"/>
        <v>#REF!</v>
      </c>
      <c r="H327" s="45" t="e">
        <f t="shared" ca="1" si="98"/>
        <v>#REF!</v>
      </c>
      <c r="I327" s="45" t="e">
        <f t="shared" ca="1" si="99"/>
        <v>#REF!</v>
      </c>
      <c r="J327" s="45" t="e">
        <f t="shared" ca="1" si="100"/>
        <v>#REF!</v>
      </c>
    </row>
    <row r="328" spans="2:10" x14ac:dyDescent="0.2">
      <c r="B328" s="140"/>
      <c r="C328" s="41" t="s">
        <v>89</v>
      </c>
      <c r="D328" s="45" t="e">
        <f t="shared" ca="1" si="95"/>
        <v>#REF!</v>
      </c>
      <c r="E328" s="45" t="e">
        <f t="shared" ca="1" si="96"/>
        <v>#REF!</v>
      </c>
      <c r="F328" s="45" t="e">
        <f t="shared" ca="1" si="97"/>
        <v>#REF!</v>
      </c>
      <c r="G328" s="45" t="e">
        <f t="shared" ca="1" si="94"/>
        <v>#REF!</v>
      </c>
      <c r="H328" s="45" t="e">
        <f t="shared" ca="1" si="98"/>
        <v>#REF!</v>
      </c>
      <c r="I328" s="45" t="e">
        <f t="shared" ca="1" si="99"/>
        <v>#REF!</v>
      </c>
      <c r="J328" s="45" t="e">
        <f t="shared" ca="1" si="100"/>
        <v>#REF!</v>
      </c>
    </row>
    <row r="329" spans="2:10" x14ac:dyDescent="0.2">
      <c r="B329" s="140"/>
      <c r="C329" s="41" t="s">
        <v>151</v>
      </c>
      <c r="D329" s="45" t="e">
        <f t="shared" ca="1" si="95"/>
        <v>#REF!</v>
      </c>
      <c r="E329" s="45" t="e">
        <f t="shared" ca="1" si="96"/>
        <v>#REF!</v>
      </c>
      <c r="F329" s="45" t="e">
        <f t="shared" ca="1" si="97"/>
        <v>#REF!</v>
      </c>
      <c r="G329" s="45" t="e">
        <f t="shared" ca="1" si="94"/>
        <v>#REF!</v>
      </c>
      <c r="H329" s="45" t="e">
        <f t="shared" ca="1" si="98"/>
        <v>#REF!</v>
      </c>
      <c r="I329" s="45" t="e">
        <f t="shared" ca="1" si="99"/>
        <v>#REF!</v>
      </c>
      <c r="J329" s="45" t="e">
        <f t="shared" ca="1" si="100"/>
        <v>#REF!</v>
      </c>
    </row>
    <row r="330" spans="2:10" x14ac:dyDescent="0.2">
      <c r="B330" s="137" t="s">
        <v>1</v>
      </c>
      <c r="C330" s="42" t="s">
        <v>2</v>
      </c>
      <c r="D330" s="46" t="e">
        <f t="shared" ca="1" si="95"/>
        <v>#REF!</v>
      </c>
      <c r="E330" s="46" t="e">
        <f t="shared" ca="1" si="96"/>
        <v>#REF!</v>
      </c>
      <c r="F330" s="46" t="e">
        <f t="shared" ca="1" si="97"/>
        <v>#REF!</v>
      </c>
      <c r="G330" s="46" t="e">
        <f t="shared" ca="1" si="94"/>
        <v>#REF!</v>
      </c>
      <c r="H330" s="46" t="e">
        <f t="shared" ca="1" si="98"/>
        <v>#REF!</v>
      </c>
      <c r="I330" s="46" t="e">
        <f t="shared" ca="1" si="99"/>
        <v>#REF!</v>
      </c>
      <c r="J330" s="46" t="e">
        <f t="shared" ca="1" si="100"/>
        <v>#REF!</v>
      </c>
    </row>
    <row r="331" spans="2:10" x14ac:dyDescent="0.2">
      <c r="B331" s="137"/>
      <c r="C331" s="42" t="s">
        <v>3</v>
      </c>
      <c r="D331" s="46" t="e">
        <f t="shared" ca="1" si="95"/>
        <v>#REF!</v>
      </c>
      <c r="E331" s="46" t="e">
        <f t="shared" ca="1" si="96"/>
        <v>#REF!</v>
      </c>
      <c r="F331" s="46" t="e">
        <f t="shared" ca="1" si="97"/>
        <v>#REF!</v>
      </c>
      <c r="G331" s="46" t="e">
        <f t="shared" ca="1" si="94"/>
        <v>#REF!</v>
      </c>
      <c r="H331" s="46" t="e">
        <f t="shared" ca="1" si="98"/>
        <v>#REF!</v>
      </c>
      <c r="I331" s="46" t="e">
        <f t="shared" ca="1" si="99"/>
        <v>#REF!</v>
      </c>
      <c r="J331" s="46" t="e">
        <f t="shared" ca="1" si="100"/>
        <v>#REF!</v>
      </c>
    </row>
    <row r="332" spans="2:10" x14ac:dyDescent="0.2">
      <c r="B332" s="137"/>
      <c r="C332" s="42" t="s">
        <v>4</v>
      </c>
      <c r="D332" s="46" t="e">
        <f t="shared" ca="1" si="95"/>
        <v>#REF!</v>
      </c>
      <c r="E332" s="46" t="e">
        <f t="shared" ca="1" si="96"/>
        <v>#REF!</v>
      </c>
      <c r="F332" s="46" t="e">
        <f t="shared" ca="1" si="97"/>
        <v>#REF!</v>
      </c>
      <c r="G332" s="46" t="e">
        <f t="shared" ca="1" si="94"/>
        <v>#REF!</v>
      </c>
      <c r="H332" s="46" t="e">
        <f t="shared" ca="1" si="98"/>
        <v>#REF!</v>
      </c>
      <c r="I332" s="46" t="e">
        <f t="shared" ca="1" si="99"/>
        <v>#REF!</v>
      </c>
      <c r="J332" s="46" t="e">
        <f t="shared" ca="1" si="100"/>
        <v>#REF!</v>
      </c>
    </row>
    <row r="333" spans="2:10" x14ac:dyDescent="0.2">
      <c r="B333" s="140" t="s">
        <v>157</v>
      </c>
      <c r="C333" s="41" t="s">
        <v>8</v>
      </c>
      <c r="D333" s="45" t="e">
        <f t="shared" ca="1" si="95"/>
        <v>#REF!</v>
      </c>
      <c r="E333" s="45" t="e">
        <f t="shared" ca="1" si="96"/>
        <v>#REF!</v>
      </c>
      <c r="F333" s="45" t="e">
        <f t="shared" ca="1" si="97"/>
        <v>#REF!</v>
      </c>
      <c r="G333" s="45" t="e">
        <f t="shared" ca="1" si="94"/>
        <v>#REF!</v>
      </c>
      <c r="H333" s="45" t="e">
        <f t="shared" ca="1" si="98"/>
        <v>#REF!</v>
      </c>
      <c r="I333" s="45" t="e">
        <f t="shared" ca="1" si="99"/>
        <v>#REF!</v>
      </c>
      <c r="J333" s="45" t="e">
        <f t="shared" ca="1" si="100"/>
        <v>#REF!</v>
      </c>
    </row>
    <row r="334" spans="2:10" x14ac:dyDescent="0.2">
      <c r="B334" s="140"/>
      <c r="C334" s="41" t="s">
        <v>7</v>
      </c>
      <c r="D334" s="45" t="e">
        <f t="shared" ca="1" si="95"/>
        <v>#REF!</v>
      </c>
      <c r="E334" s="45" t="e">
        <f t="shared" ca="1" si="96"/>
        <v>#REF!</v>
      </c>
      <c r="F334" s="45" t="e">
        <f t="shared" ca="1" si="97"/>
        <v>#REF!</v>
      </c>
      <c r="G334" s="45" t="e">
        <f t="shared" ca="1" si="94"/>
        <v>#REF!</v>
      </c>
      <c r="H334" s="45" t="e">
        <f t="shared" ca="1" si="98"/>
        <v>#REF!</v>
      </c>
      <c r="I334" s="45" t="e">
        <f t="shared" ca="1" si="99"/>
        <v>#REF!</v>
      </c>
      <c r="J334" s="45" t="e">
        <f t="shared" ca="1" si="100"/>
        <v>#REF!</v>
      </c>
    </row>
    <row r="335" spans="2:10" x14ac:dyDescent="0.2">
      <c r="B335" s="140"/>
      <c r="C335" s="41" t="s">
        <v>159</v>
      </c>
      <c r="D335" s="45" t="e">
        <f t="shared" ca="1" si="95"/>
        <v>#REF!</v>
      </c>
      <c r="E335" s="45" t="e">
        <f t="shared" ca="1" si="96"/>
        <v>#REF!</v>
      </c>
      <c r="F335" s="45" t="e">
        <f t="shared" ca="1" si="97"/>
        <v>#REF!</v>
      </c>
      <c r="G335" s="45" t="e">
        <f t="shared" ca="1" si="94"/>
        <v>#REF!</v>
      </c>
      <c r="H335" s="45" t="e">
        <f t="shared" ca="1" si="98"/>
        <v>#REF!</v>
      </c>
      <c r="I335" s="45" t="e">
        <f t="shared" ca="1" si="99"/>
        <v>#REF!</v>
      </c>
      <c r="J335" s="45" t="e">
        <f t="shared" ca="1" si="100"/>
        <v>#REF!</v>
      </c>
    </row>
  </sheetData>
  <autoFilter ref="C1:C335"/>
  <mergeCells count="42">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 ref="B257:B262"/>
    <mergeCell ref="B270:B284"/>
    <mergeCell ref="B170:J170"/>
    <mergeCell ref="B295:B313"/>
    <mergeCell ref="B207:B220"/>
    <mergeCell ref="B236:B238"/>
    <mergeCell ref="B239:B242"/>
    <mergeCell ref="B171:B183"/>
    <mergeCell ref="B184:B189"/>
    <mergeCell ref="B197:B206"/>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5322"/>
  <sheetViews>
    <sheetView tabSelected="1" workbookViewId="0">
      <selection activeCell="H12" sqref="H12"/>
    </sheetView>
  </sheetViews>
  <sheetFormatPr defaultRowHeight="12.75" x14ac:dyDescent="0.2"/>
  <cols>
    <col min="1" max="1" width="14" customWidth="1"/>
    <col min="15" max="15" width="26" customWidth="1"/>
    <col min="16" max="16" width="8.42578125" customWidth="1"/>
    <col min="20" max="20" width="24" customWidth="1"/>
  </cols>
  <sheetData>
    <row r="1" spans="1:20" x14ac:dyDescent="0.2">
      <c r="A1" s="151" t="s">
        <v>200</v>
      </c>
      <c r="B1" s="151"/>
      <c r="C1" s="151"/>
      <c r="D1" s="151"/>
      <c r="E1" s="151"/>
      <c r="F1" s="151"/>
      <c r="G1" s="151"/>
      <c r="H1" s="151"/>
      <c r="I1" s="151"/>
      <c r="J1" s="151"/>
      <c r="K1" s="151"/>
      <c r="L1" s="151"/>
    </row>
    <row r="2" spans="1:20" x14ac:dyDescent="0.2">
      <c r="A2" s="151"/>
      <c r="B2" s="151"/>
      <c r="C2" s="151"/>
      <c r="D2" s="151"/>
      <c r="E2" s="151"/>
      <c r="F2" s="151"/>
      <c r="G2" s="151"/>
      <c r="H2" s="151"/>
      <c r="I2" s="151"/>
      <c r="J2" s="151"/>
      <c r="K2" s="151"/>
      <c r="L2" s="151"/>
    </row>
    <row r="3" spans="1:20" x14ac:dyDescent="0.2">
      <c r="A3" t="s">
        <v>206</v>
      </c>
      <c r="B3" t="s">
        <v>207</v>
      </c>
      <c r="C3" t="s">
        <v>208</v>
      </c>
      <c r="D3" t="s">
        <v>209</v>
      </c>
      <c r="G3" s="6" t="s">
        <v>210</v>
      </c>
      <c r="H3" s="6"/>
      <c r="I3" s="6" t="s">
        <v>211</v>
      </c>
      <c r="J3" s="6"/>
      <c r="K3" s="6" t="s">
        <v>212</v>
      </c>
      <c r="L3" s="6"/>
      <c r="M3" s="6" t="s">
        <v>213</v>
      </c>
      <c r="N3" s="6"/>
      <c r="O3" s="6" t="s">
        <v>214</v>
      </c>
      <c r="P3" s="6" t="s">
        <v>194</v>
      </c>
      <c r="T3" s="6" t="s">
        <v>426</v>
      </c>
    </row>
    <row r="4" spans="1:20" x14ac:dyDescent="0.2">
      <c r="A4" t="s">
        <v>215</v>
      </c>
      <c r="B4">
        <v>31</v>
      </c>
      <c r="C4" t="s">
        <v>216</v>
      </c>
      <c r="D4" t="s">
        <v>217</v>
      </c>
      <c r="G4" t="s">
        <v>218</v>
      </c>
      <c r="I4" t="s">
        <v>219</v>
      </c>
      <c r="K4" t="s">
        <v>220</v>
      </c>
      <c r="M4" t="s">
        <v>221</v>
      </c>
      <c r="O4" t="s">
        <v>5265</v>
      </c>
      <c r="P4" t="s">
        <v>224</v>
      </c>
      <c r="Q4" t="s">
        <v>224</v>
      </c>
      <c r="T4" t="s">
        <v>427</v>
      </c>
    </row>
    <row r="5" spans="1:20" x14ac:dyDescent="0.2">
      <c r="A5" t="s">
        <v>223</v>
      </c>
      <c r="B5">
        <v>32</v>
      </c>
      <c r="G5" t="s">
        <v>224</v>
      </c>
      <c r="I5" t="s">
        <v>225</v>
      </c>
      <c r="K5" t="s">
        <v>226</v>
      </c>
      <c r="M5" t="s">
        <v>198</v>
      </c>
      <c r="O5" t="s">
        <v>222</v>
      </c>
      <c r="P5">
        <v>19</v>
      </c>
      <c r="Q5" t="str">
        <f t="shared" ref="Q5:Q41" si="0">TEXT(P5,"###")</f>
        <v>19</v>
      </c>
      <c r="T5" t="s">
        <v>428</v>
      </c>
    </row>
    <row r="6" spans="1:20" x14ac:dyDescent="0.2">
      <c r="A6" t="s">
        <v>228</v>
      </c>
      <c r="B6">
        <v>33</v>
      </c>
      <c r="G6" t="s">
        <v>229</v>
      </c>
      <c r="I6" t="s">
        <v>230</v>
      </c>
      <c r="K6" t="s">
        <v>202</v>
      </c>
      <c r="M6" t="s">
        <v>231</v>
      </c>
      <c r="O6" t="s">
        <v>227</v>
      </c>
      <c r="P6">
        <v>20</v>
      </c>
      <c r="Q6" t="str">
        <f t="shared" si="0"/>
        <v>20</v>
      </c>
      <c r="T6" t="s">
        <v>429</v>
      </c>
    </row>
    <row r="7" spans="1:20" x14ac:dyDescent="0.2">
      <c r="A7" t="s">
        <v>217</v>
      </c>
      <c r="B7">
        <v>34</v>
      </c>
      <c r="G7" t="s">
        <v>233</v>
      </c>
      <c r="I7" t="s">
        <v>234</v>
      </c>
      <c r="K7" t="s">
        <v>235</v>
      </c>
      <c r="M7" s="10"/>
      <c r="O7" s="10" t="s">
        <v>232</v>
      </c>
      <c r="P7">
        <v>21</v>
      </c>
      <c r="Q7" t="str">
        <f t="shared" si="0"/>
        <v>21</v>
      </c>
      <c r="T7" t="s">
        <v>430</v>
      </c>
    </row>
    <row r="8" spans="1:20" x14ac:dyDescent="0.2">
      <c r="A8" t="s">
        <v>237</v>
      </c>
      <c r="B8">
        <v>35</v>
      </c>
      <c r="G8" t="s">
        <v>238</v>
      </c>
      <c r="K8" t="s">
        <v>239</v>
      </c>
      <c r="M8" s="10"/>
      <c r="O8" s="10" t="s">
        <v>236</v>
      </c>
      <c r="P8">
        <v>25</v>
      </c>
      <c r="Q8" t="str">
        <f t="shared" si="0"/>
        <v>25</v>
      </c>
      <c r="T8" t="s">
        <v>431</v>
      </c>
    </row>
    <row r="9" spans="1:20" x14ac:dyDescent="0.2">
      <c r="A9" t="s">
        <v>102</v>
      </c>
      <c r="B9">
        <v>36</v>
      </c>
      <c r="M9" s="10"/>
      <c r="O9" s="10" t="s">
        <v>240</v>
      </c>
      <c r="P9">
        <v>26</v>
      </c>
      <c r="Q9" t="str">
        <f t="shared" si="0"/>
        <v>26</v>
      </c>
      <c r="T9" t="s">
        <v>432</v>
      </c>
    </row>
    <row r="10" spans="1:20" x14ac:dyDescent="0.2">
      <c r="A10" t="s">
        <v>242</v>
      </c>
      <c r="B10">
        <v>37</v>
      </c>
      <c r="M10" s="10"/>
      <c r="O10" s="10" t="s">
        <v>241</v>
      </c>
      <c r="P10">
        <v>27</v>
      </c>
      <c r="Q10" t="str">
        <f t="shared" si="0"/>
        <v>27</v>
      </c>
      <c r="T10" t="s">
        <v>433</v>
      </c>
    </row>
    <row r="11" spans="1:20" x14ac:dyDescent="0.2">
      <c r="M11" s="10"/>
      <c r="O11" s="10" t="s">
        <v>243</v>
      </c>
      <c r="P11">
        <v>28</v>
      </c>
      <c r="Q11" t="str">
        <f t="shared" si="0"/>
        <v>28</v>
      </c>
      <c r="T11" t="s">
        <v>434</v>
      </c>
    </row>
    <row r="12" spans="1:20" x14ac:dyDescent="0.2">
      <c r="M12" s="10"/>
      <c r="O12" s="10" t="s">
        <v>244</v>
      </c>
      <c r="P12">
        <v>29</v>
      </c>
      <c r="Q12" t="str">
        <f t="shared" si="0"/>
        <v>29</v>
      </c>
      <c r="T12" t="s">
        <v>435</v>
      </c>
    </row>
    <row r="13" spans="1:20" x14ac:dyDescent="0.2">
      <c r="M13" s="10"/>
      <c r="O13" s="10" t="s">
        <v>245</v>
      </c>
      <c r="P13">
        <v>30</v>
      </c>
      <c r="Q13" t="str">
        <f t="shared" si="0"/>
        <v>30</v>
      </c>
      <c r="T13" t="s">
        <v>436</v>
      </c>
    </row>
    <row r="14" spans="1:20" x14ac:dyDescent="0.2">
      <c r="A14" t="s">
        <v>206</v>
      </c>
      <c r="B14" t="s">
        <v>247</v>
      </c>
      <c r="C14" t="s">
        <v>248</v>
      </c>
      <c r="D14" t="s">
        <v>209</v>
      </c>
      <c r="M14" s="10"/>
      <c r="O14" t="s">
        <v>246</v>
      </c>
      <c r="P14">
        <v>141</v>
      </c>
      <c r="Q14" t="str">
        <f t="shared" si="0"/>
        <v>141</v>
      </c>
      <c r="T14" t="s">
        <v>437</v>
      </c>
    </row>
    <row r="15" spans="1:20" x14ac:dyDescent="0.2">
      <c r="A15" t="str">
        <f>A4</f>
        <v>RADIODETERMINATION</v>
      </c>
      <c r="B15" t="s">
        <v>250</v>
      </c>
      <c r="C15" t="s">
        <v>251</v>
      </c>
      <c r="D15" t="s">
        <v>242</v>
      </c>
      <c r="M15" s="10"/>
      <c r="O15" t="s">
        <v>249</v>
      </c>
      <c r="P15">
        <v>142</v>
      </c>
      <c r="Q15" t="str">
        <f t="shared" si="0"/>
        <v>142</v>
      </c>
      <c r="T15" t="s">
        <v>438</v>
      </c>
    </row>
    <row r="16" spans="1:20" x14ac:dyDescent="0.2">
      <c r="A16" t="str">
        <f t="shared" ref="A16:A21" si="1">A5</f>
        <v>BASE-MOBILE SYSTEMS (ACCESS BASE VIA REPEATER TO MOBILE)</v>
      </c>
      <c r="B16" t="s">
        <v>253</v>
      </c>
      <c r="M16" s="10"/>
      <c r="O16" t="s">
        <v>252</v>
      </c>
      <c r="P16">
        <v>143</v>
      </c>
      <c r="Q16" t="str">
        <f t="shared" si="0"/>
        <v>143</v>
      </c>
      <c r="T16" t="s">
        <v>439</v>
      </c>
    </row>
    <row r="17" spans="1:20" x14ac:dyDescent="0.2">
      <c r="A17" t="str">
        <f t="shared" si="1"/>
        <v>BASE-MOBILE SYSTEMS (FIXED BASE TO MOBILE, NO REPEATER)</v>
      </c>
      <c r="B17" t="s">
        <v>253</v>
      </c>
      <c r="M17" s="10"/>
      <c r="O17" t="s">
        <v>254</v>
      </c>
      <c r="P17">
        <v>144</v>
      </c>
      <c r="Q17" t="str">
        <f t="shared" si="0"/>
        <v>144</v>
      </c>
      <c r="T17" t="s">
        <v>440</v>
      </c>
    </row>
    <row r="18" spans="1:20" x14ac:dyDescent="0.2">
      <c r="A18" t="str">
        <f t="shared" si="1"/>
        <v>BASE-MOBILE SYSTEMS (ACCESS BASE TO REPEATER (NO MOBILES) / BASE TO BASE)</v>
      </c>
      <c r="B18" t="s">
        <v>253</v>
      </c>
      <c r="O18" t="s">
        <v>255</v>
      </c>
      <c r="P18">
        <v>145</v>
      </c>
      <c r="Q18" t="str">
        <f t="shared" si="0"/>
        <v>145</v>
      </c>
      <c r="T18" t="s">
        <v>441</v>
      </c>
    </row>
    <row r="19" spans="1:20" x14ac:dyDescent="0.2">
      <c r="A19" t="str">
        <f t="shared" si="1"/>
        <v>BASE-MOBILE SYSTEMS (POINT-TO-AREA TYPE SYSTEM)</v>
      </c>
      <c r="B19" t="s">
        <v>253</v>
      </c>
      <c r="O19" t="s">
        <v>256</v>
      </c>
      <c r="P19">
        <v>146</v>
      </c>
      <c r="Q19" t="str">
        <f t="shared" si="0"/>
        <v>146</v>
      </c>
      <c r="T19" t="s">
        <v>442</v>
      </c>
    </row>
    <row r="20" spans="1:20" x14ac:dyDescent="0.2">
      <c r="A20" t="str">
        <f t="shared" si="1"/>
        <v>MOBILE ONLY</v>
      </c>
      <c r="B20" t="s">
        <v>258</v>
      </c>
      <c r="O20" t="s">
        <v>257</v>
      </c>
      <c r="P20">
        <v>147</v>
      </c>
      <c r="Q20" t="str">
        <f t="shared" si="0"/>
        <v>147</v>
      </c>
      <c r="T20" t="s">
        <v>443</v>
      </c>
    </row>
    <row r="21" spans="1:20" x14ac:dyDescent="0.2">
      <c r="A21" t="str">
        <f t="shared" si="1"/>
        <v>LIGHT-LICENSED MOBILE</v>
      </c>
      <c r="B21" t="s">
        <v>260</v>
      </c>
      <c r="O21" t="s">
        <v>259</v>
      </c>
      <c r="P21">
        <v>148</v>
      </c>
      <c r="Q21" t="str">
        <f t="shared" si="0"/>
        <v>148</v>
      </c>
      <c r="T21" t="s">
        <v>444</v>
      </c>
    </row>
    <row r="22" spans="1:20" x14ac:dyDescent="0.2">
      <c r="O22" t="s">
        <v>261</v>
      </c>
      <c r="P22">
        <v>200</v>
      </c>
      <c r="Q22" t="str">
        <f t="shared" si="0"/>
        <v>200</v>
      </c>
      <c r="T22" t="s">
        <v>445</v>
      </c>
    </row>
    <row r="23" spans="1:20" x14ac:dyDescent="0.2">
      <c r="O23" t="s">
        <v>262</v>
      </c>
      <c r="P23">
        <v>201</v>
      </c>
      <c r="Q23" t="str">
        <f t="shared" si="0"/>
        <v>201</v>
      </c>
      <c r="T23" t="s">
        <v>446</v>
      </c>
    </row>
    <row r="24" spans="1:20" x14ac:dyDescent="0.2">
      <c r="O24" t="s">
        <v>263</v>
      </c>
      <c r="P24">
        <v>202</v>
      </c>
      <c r="Q24" t="str">
        <f t="shared" si="0"/>
        <v>202</v>
      </c>
      <c r="T24" t="s">
        <v>447</v>
      </c>
    </row>
    <row r="25" spans="1:20" x14ac:dyDescent="0.2">
      <c r="A25" t="s">
        <v>206</v>
      </c>
      <c r="B25" t="s">
        <v>265</v>
      </c>
      <c r="D25" t="s">
        <v>209</v>
      </c>
      <c r="O25" t="s">
        <v>264</v>
      </c>
      <c r="P25">
        <v>203</v>
      </c>
      <c r="Q25" t="str">
        <f t="shared" si="0"/>
        <v>203</v>
      </c>
      <c r="T25" t="s">
        <v>448</v>
      </c>
    </row>
    <row r="26" spans="1:20" x14ac:dyDescent="0.2">
      <c r="A26" t="str">
        <f>A15</f>
        <v>RADIODETERMINATION</v>
      </c>
      <c r="B26" t="s">
        <v>267</v>
      </c>
      <c r="D26" t="s">
        <v>242</v>
      </c>
      <c r="O26" t="s">
        <v>266</v>
      </c>
      <c r="P26">
        <v>260</v>
      </c>
      <c r="Q26" t="str">
        <f t="shared" si="0"/>
        <v>260</v>
      </c>
      <c r="T26" t="s">
        <v>449</v>
      </c>
    </row>
    <row r="27" spans="1:20" x14ac:dyDescent="0.2">
      <c r="A27" t="str">
        <f t="shared" ref="A27:A32" si="2">A16</f>
        <v>BASE-MOBILE SYSTEMS (ACCESS BASE VIA REPEATER TO MOBILE)</v>
      </c>
      <c r="B27" t="s">
        <v>268</v>
      </c>
      <c r="O27" t="s">
        <v>193</v>
      </c>
      <c r="P27">
        <v>300</v>
      </c>
      <c r="Q27" t="str">
        <f t="shared" si="0"/>
        <v>300</v>
      </c>
      <c r="T27" t="s">
        <v>450</v>
      </c>
    </row>
    <row r="28" spans="1:20" x14ac:dyDescent="0.2">
      <c r="A28" t="str">
        <f t="shared" si="2"/>
        <v>BASE-MOBILE SYSTEMS (FIXED BASE TO MOBILE, NO REPEATER)</v>
      </c>
      <c r="B28" t="s">
        <v>271</v>
      </c>
      <c r="O28" t="s">
        <v>269</v>
      </c>
      <c r="P28">
        <v>301</v>
      </c>
      <c r="Q28" t="str">
        <f t="shared" si="0"/>
        <v>301</v>
      </c>
      <c r="T28" t="s">
        <v>431</v>
      </c>
    </row>
    <row r="29" spans="1:20" x14ac:dyDescent="0.2">
      <c r="A29" t="str">
        <f t="shared" si="2"/>
        <v>BASE-MOBILE SYSTEMS (ACCESS BASE TO REPEATER (NO MOBILES) / BASE TO BASE)</v>
      </c>
      <c r="B29" t="s">
        <v>274</v>
      </c>
      <c r="O29" t="s">
        <v>272</v>
      </c>
      <c r="P29">
        <v>302</v>
      </c>
      <c r="Q29" t="str">
        <f t="shared" si="0"/>
        <v>302</v>
      </c>
      <c r="T29" t="s">
        <v>432</v>
      </c>
    </row>
    <row r="30" spans="1:20" x14ac:dyDescent="0.2">
      <c r="A30" t="str">
        <f t="shared" si="2"/>
        <v>BASE-MOBILE SYSTEMS (POINT-TO-AREA TYPE SYSTEM)</v>
      </c>
      <c r="B30" t="s">
        <v>277</v>
      </c>
      <c r="O30" t="s">
        <v>275</v>
      </c>
      <c r="P30">
        <v>304</v>
      </c>
      <c r="Q30" t="str">
        <f t="shared" si="0"/>
        <v>304</v>
      </c>
      <c r="T30" t="s">
        <v>451</v>
      </c>
    </row>
    <row r="31" spans="1:20" x14ac:dyDescent="0.2">
      <c r="A31" t="str">
        <f t="shared" si="2"/>
        <v>MOBILE ONLY</v>
      </c>
      <c r="B31" t="s">
        <v>279</v>
      </c>
      <c r="O31" t="s">
        <v>278</v>
      </c>
      <c r="P31">
        <v>500</v>
      </c>
      <c r="Q31" t="str">
        <f t="shared" si="0"/>
        <v>500</v>
      </c>
      <c r="T31" t="s">
        <v>452</v>
      </c>
    </row>
    <row r="32" spans="1:20" x14ac:dyDescent="0.2">
      <c r="A32" t="str">
        <f t="shared" si="2"/>
        <v>LIGHT-LICENSED MOBILE</v>
      </c>
      <c r="B32" t="s">
        <v>281</v>
      </c>
      <c r="O32" t="s">
        <v>280</v>
      </c>
      <c r="P32">
        <v>501</v>
      </c>
      <c r="Q32" t="str">
        <f t="shared" si="0"/>
        <v>501</v>
      </c>
      <c r="T32" t="s">
        <v>453</v>
      </c>
    </row>
    <row r="33" spans="15:20" x14ac:dyDescent="0.2">
      <c r="O33" t="s">
        <v>282</v>
      </c>
      <c r="P33">
        <v>640</v>
      </c>
      <c r="Q33" t="str">
        <f t="shared" si="0"/>
        <v>640</v>
      </c>
      <c r="T33" t="s">
        <v>454</v>
      </c>
    </row>
    <row r="34" spans="15:20" x14ac:dyDescent="0.2">
      <c r="O34" t="s">
        <v>283</v>
      </c>
      <c r="P34">
        <v>641</v>
      </c>
      <c r="Q34" t="str">
        <f t="shared" si="0"/>
        <v>641</v>
      </c>
      <c r="T34" t="s">
        <v>455</v>
      </c>
    </row>
    <row r="35" spans="15:20" x14ac:dyDescent="0.2">
      <c r="O35" t="s">
        <v>284</v>
      </c>
      <c r="P35">
        <v>800</v>
      </c>
      <c r="Q35" t="str">
        <f t="shared" si="0"/>
        <v>800</v>
      </c>
      <c r="T35" t="s">
        <v>456</v>
      </c>
    </row>
    <row r="36" spans="15:20" x14ac:dyDescent="0.2">
      <c r="O36" t="s">
        <v>285</v>
      </c>
      <c r="P36">
        <v>801</v>
      </c>
      <c r="Q36" t="str">
        <f t="shared" si="0"/>
        <v>801</v>
      </c>
      <c r="T36" t="s">
        <v>457</v>
      </c>
    </row>
    <row r="37" spans="15:20" x14ac:dyDescent="0.2">
      <c r="O37" t="s">
        <v>286</v>
      </c>
      <c r="P37">
        <v>860</v>
      </c>
      <c r="Q37" t="str">
        <f t="shared" si="0"/>
        <v>860</v>
      </c>
      <c r="T37" t="s">
        <v>458</v>
      </c>
    </row>
    <row r="38" spans="15:20" x14ac:dyDescent="0.2">
      <c r="O38" t="s">
        <v>287</v>
      </c>
      <c r="P38">
        <v>901</v>
      </c>
      <c r="Q38" t="str">
        <f t="shared" si="0"/>
        <v>901</v>
      </c>
      <c r="T38" t="s">
        <v>459</v>
      </c>
    </row>
    <row r="39" spans="15:20" x14ac:dyDescent="0.2">
      <c r="O39" t="s">
        <v>288</v>
      </c>
      <c r="P39">
        <v>902</v>
      </c>
      <c r="Q39" t="str">
        <f t="shared" si="0"/>
        <v>902</v>
      </c>
      <c r="T39" t="s">
        <v>460</v>
      </c>
    </row>
    <row r="40" spans="15:20" x14ac:dyDescent="0.2">
      <c r="O40" t="s">
        <v>289</v>
      </c>
      <c r="P40">
        <v>903</v>
      </c>
      <c r="Q40" t="str">
        <f t="shared" si="0"/>
        <v>903</v>
      </c>
      <c r="T40" t="s">
        <v>461</v>
      </c>
    </row>
    <row r="41" spans="15:20" x14ac:dyDescent="0.2">
      <c r="O41" t="s">
        <v>290</v>
      </c>
      <c r="P41">
        <v>904</v>
      </c>
      <c r="Q41" t="str">
        <f t="shared" si="0"/>
        <v>904</v>
      </c>
      <c r="T41" t="s">
        <v>462</v>
      </c>
    </row>
    <row r="42" spans="15:20" x14ac:dyDescent="0.2">
      <c r="T42" t="s">
        <v>463</v>
      </c>
    </row>
    <row r="43" spans="15:20" x14ac:dyDescent="0.2">
      <c r="T43" t="s">
        <v>464</v>
      </c>
    </row>
    <row r="44" spans="15:20" x14ac:dyDescent="0.2">
      <c r="T44" t="s">
        <v>465</v>
      </c>
    </row>
    <row r="45" spans="15:20" x14ac:dyDescent="0.2">
      <c r="T45" t="s">
        <v>466</v>
      </c>
    </row>
    <row r="46" spans="15:20" x14ac:dyDescent="0.2">
      <c r="T46" t="s">
        <v>467</v>
      </c>
    </row>
    <row r="47" spans="15:20" x14ac:dyDescent="0.2">
      <c r="T47" t="s">
        <v>468</v>
      </c>
    </row>
    <row r="48" spans="15:20" x14ac:dyDescent="0.2">
      <c r="T48" t="s">
        <v>469</v>
      </c>
    </row>
    <row r="49" spans="20:20" x14ac:dyDescent="0.2">
      <c r="T49" t="s">
        <v>428</v>
      </c>
    </row>
    <row r="50" spans="20:20" x14ac:dyDescent="0.2">
      <c r="T50" t="s">
        <v>470</v>
      </c>
    </row>
    <row r="51" spans="20:20" x14ac:dyDescent="0.2">
      <c r="T51" t="s">
        <v>471</v>
      </c>
    </row>
    <row r="52" spans="20:20" x14ac:dyDescent="0.2">
      <c r="T52" t="s">
        <v>472</v>
      </c>
    </row>
    <row r="53" spans="20:20" x14ac:dyDescent="0.2">
      <c r="T53" t="s">
        <v>473</v>
      </c>
    </row>
    <row r="54" spans="20:20" x14ac:dyDescent="0.2">
      <c r="T54" t="s">
        <v>469</v>
      </c>
    </row>
    <row r="55" spans="20:20" x14ac:dyDescent="0.2">
      <c r="T55" t="s">
        <v>432</v>
      </c>
    </row>
    <row r="56" spans="20:20" x14ac:dyDescent="0.2">
      <c r="T56" t="s">
        <v>474</v>
      </c>
    </row>
    <row r="57" spans="20:20" x14ac:dyDescent="0.2">
      <c r="T57" t="s">
        <v>475</v>
      </c>
    </row>
    <row r="58" spans="20:20" x14ac:dyDescent="0.2">
      <c r="T58" t="s">
        <v>476</v>
      </c>
    </row>
    <row r="59" spans="20:20" x14ac:dyDescent="0.2">
      <c r="T59" t="s">
        <v>477</v>
      </c>
    </row>
    <row r="60" spans="20:20" x14ac:dyDescent="0.2">
      <c r="T60" t="s">
        <v>427</v>
      </c>
    </row>
    <row r="61" spans="20:20" x14ac:dyDescent="0.2">
      <c r="T61" t="s">
        <v>469</v>
      </c>
    </row>
    <row r="62" spans="20:20" x14ac:dyDescent="0.2">
      <c r="T62" t="s">
        <v>469</v>
      </c>
    </row>
    <row r="63" spans="20:20" x14ac:dyDescent="0.2">
      <c r="T63" t="s">
        <v>478</v>
      </c>
    </row>
    <row r="64" spans="20:20" x14ac:dyDescent="0.2">
      <c r="T64" t="s">
        <v>479</v>
      </c>
    </row>
    <row r="65" spans="20:20" x14ac:dyDescent="0.2">
      <c r="T65" t="s">
        <v>480</v>
      </c>
    </row>
    <row r="66" spans="20:20" x14ac:dyDescent="0.2">
      <c r="T66" t="s">
        <v>481</v>
      </c>
    </row>
    <row r="67" spans="20:20" x14ac:dyDescent="0.2">
      <c r="T67" t="s">
        <v>482</v>
      </c>
    </row>
    <row r="68" spans="20:20" x14ac:dyDescent="0.2">
      <c r="T68" t="s">
        <v>483</v>
      </c>
    </row>
    <row r="69" spans="20:20" x14ac:dyDescent="0.2">
      <c r="T69" t="s">
        <v>484</v>
      </c>
    </row>
    <row r="70" spans="20:20" x14ac:dyDescent="0.2">
      <c r="T70" t="s">
        <v>485</v>
      </c>
    </row>
    <row r="71" spans="20:20" x14ac:dyDescent="0.2">
      <c r="T71" t="s">
        <v>486</v>
      </c>
    </row>
    <row r="72" spans="20:20" x14ac:dyDescent="0.2">
      <c r="T72" t="s">
        <v>487</v>
      </c>
    </row>
    <row r="73" spans="20:20" x14ac:dyDescent="0.2">
      <c r="T73" t="s">
        <v>488</v>
      </c>
    </row>
    <row r="74" spans="20:20" x14ac:dyDescent="0.2">
      <c r="T74" t="s">
        <v>489</v>
      </c>
    </row>
    <row r="75" spans="20:20" x14ac:dyDescent="0.2">
      <c r="T75" t="s">
        <v>490</v>
      </c>
    </row>
    <row r="76" spans="20:20" x14ac:dyDescent="0.2">
      <c r="T76" t="s">
        <v>491</v>
      </c>
    </row>
    <row r="77" spans="20:20" x14ac:dyDescent="0.2">
      <c r="T77" t="s">
        <v>492</v>
      </c>
    </row>
    <row r="78" spans="20:20" x14ac:dyDescent="0.2">
      <c r="T78" t="s">
        <v>493</v>
      </c>
    </row>
    <row r="79" spans="20:20" x14ac:dyDescent="0.2">
      <c r="T79" t="s">
        <v>494</v>
      </c>
    </row>
    <row r="80" spans="20:20" x14ac:dyDescent="0.2">
      <c r="T80" t="s">
        <v>495</v>
      </c>
    </row>
    <row r="81" spans="20:20" x14ac:dyDescent="0.2">
      <c r="T81" t="s">
        <v>496</v>
      </c>
    </row>
    <row r="82" spans="20:20" x14ac:dyDescent="0.2">
      <c r="T82" t="s">
        <v>497</v>
      </c>
    </row>
    <row r="83" spans="20:20" x14ac:dyDescent="0.2">
      <c r="T83" t="s">
        <v>498</v>
      </c>
    </row>
    <row r="84" spans="20:20" x14ac:dyDescent="0.2">
      <c r="T84" t="s">
        <v>499</v>
      </c>
    </row>
    <row r="85" spans="20:20" x14ac:dyDescent="0.2">
      <c r="T85" t="s">
        <v>500</v>
      </c>
    </row>
    <row r="86" spans="20:20" x14ac:dyDescent="0.2">
      <c r="T86" t="s">
        <v>501</v>
      </c>
    </row>
    <row r="87" spans="20:20" x14ac:dyDescent="0.2">
      <c r="T87" t="s">
        <v>502</v>
      </c>
    </row>
    <row r="88" spans="20:20" x14ac:dyDescent="0.2">
      <c r="T88" t="s">
        <v>503</v>
      </c>
    </row>
    <row r="89" spans="20:20" x14ac:dyDescent="0.2">
      <c r="T89" t="s">
        <v>504</v>
      </c>
    </row>
    <row r="90" spans="20:20" x14ac:dyDescent="0.2">
      <c r="T90" t="s">
        <v>505</v>
      </c>
    </row>
    <row r="91" spans="20:20" x14ac:dyDescent="0.2">
      <c r="T91" t="s">
        <v>506</v>
      </c>
    </row>
    <row r="92" spans="20:20" x14ac:dyDescent="0.2">
      <c r="T92" t="s">
        <v>507</v>
      </c>
    </row>
    <row r="93" spans="20:20" x14ac:dyDescent="0.2">
      <c r="T93" t="s">
        <v>508</v>
      </c>
    </row>
    <row r="94" spans="20:20" x14ac:dyDescent="0.2">
      <c r="T94" t="s">
        <v>509</v>
      </c>
    </row>
    <row r="95" spans="20:20" x14ac:dyDescent="0.2">
      <c r="T95" t="s">
        <v>510</v>
      </c>
    </row>
    <row r="96" spans="20:20" x14ac:dyDescent="0.2">
      <c r="T96" t="s">
        <v>427</v>
      </c>
    </row>
    <row r="97" spans="20:20" x14ac:dyDescent="0.2">
      <c r="T97" t="s">
        <v>511</v>
      </c>
    </row>
    <row r="98" spans="20:20" x14ac:dyDescent="0.2">
      <c r="T98" t="s">
        <v>512</v>
      </c>
    </row>
    <row r="99" spans="20:20" x14ac:dyDescent="0.2">
      <c r="T99" t="s">
        <v>427</v>
      </c>
    </row>
    <row r="100" spans="20:20" x14ac:dyDescent="0.2">
      <c r="T100" t="s">
        <v>513</v>
      </c>
    </row>
    <row r="101" spans="20:20" x14ac:dyDescent="0.2">
      <c r="T101" t="s">
        <v>472</v>
      </c>
    </row>
    <row r="102" spans="20:20" x14ac:dyDescent="0.2">
      <c r="T102" t="s">
        <v>473</v>
      </c>
    </row>
    <row r="103" spans="20:20" x14ac:dyDescent="0.2">
      <c r="T103" t="s">
        <v>476</v>
      </c>
    </row>
    <row r="104" spans="20:20" x14ac:dyDescent="0.2">
      <c r="T104" t="s">
        <v>427</v>
      </c>
    </row>
    <row r="105" spans="20:20" x14ac:dyDescent="0.2">
      <c r="T105" t="s">
        <v>472</v>
      </c>
    </row>
    <row r="106" spans="20:20" x14ac:dyDescent="0.2">
      <c r="T106" t="s">
        <v>473</v>
      </c>
    </row>
    <row r="107" spans="20:20" x14ac:dyDescent="0.2">
      <c r="T107" t="s">
        <v>427</v>
      </c>
    </row>
    <row r="108" spans="20:20" x14ac:dyDescent="0.2">
      <c r="T108" t="s">
        <v>497</v>
      </c>
    </row>
    <row r="109" spans="20:20" x14ac:dyDescent="0.2">
      <c r="T109" t="s">
        <v>514</v>
      </c>
    </row>
    <row r="110" spans="20:20" x14ac:dyDescent="0.2">
      <c r="T110" t="s">
        <v>515</v>
      </c>
    </row>
    <row r="111" spans="20:20" x14ac:dyDescent="0.2">
      <c r="T111" t="s">
        <v>516</v>
      </c>
    </row>
    <row r="112" spans="20:20" x14ac:dyDescent="0.2">
      <c r="T112" t="s">
        <v>517</v>
      </c>
    </row>
    <row r="113" spans="20:20" x14ac:dyDescent="0.2">
      <c r="T113" t="s">
        <v>518</v>
      </c>
    </row>
    <row r="114" spans="20:20" x14ac:dyDescent="0.2">
      <c r="T114" t="s">
        <v>519</v>
      </c>
    </row>
    <row r="115" spans="20:20" x14ac:dyDescent="0.2">
      <c r="T115" t="s">
        <v>520</v>
      </c>
    </row>
    <row r="116" spans="20:20" x14ac:dyDescent="0.2">
      <c r="T116" t="s">
        <v>521</v>
      </c>
    </row>
    <row r="117" spans="20:20" x14ac:dyDescent="0.2">
      <c r="T117" t="s">
        <v>522</v>
      </c>
    </row>
    <row r="118" spans="20:20" x14ac:dyDescent="0.2">
      <c r="T118" t="s">
        <v>523</v>
      </c>
    </row>
    <row r="119" spans="20:20" x14ac:dyDescent="0.2">
      <c r="T119" t="s">
        <v>524</v>
      </c>
    </row>
    <row r="120" spans="20:20" x14ac:dyDescent="0.2">
      <c r="T120" t="s">
        <v>525</v>
      </c>
    </row>
    <row r="121" spans="20:20" x14ac:dyDescent="0.2">
      <c r="T121" t="s">
        <v>526</v>
      </c>
    </row>
    <row r="122" spans="20:20" x14ac:dyDescent="0.2">
      <c r="T122" t="s">
        <v>527</v>
      </c>
    </row>
    <row r="123" spans="20:20" x14ac:dyDescent="0.2">
      <c r="T123" t="s">
        <v>528</v>
      </c>
    </row>
    <row r="124" spans="20:20" x14ac:dyDescent="0.2">
      <c r="T124" t="s">
        <v>529</v>
      </c>
    </row>
    <row r="125" spans="20:20" x14ac:dyDescent="0.2">
      <c r="T125" t="s">
        <v>530</v>
      </c>
    </row>
    <row r="126" spans="20:20" x14ac:dyDescent="0.2">
      <c r="T126" t="s">
        <v>531</v>
      </c>
    </row>
    <row r="127" spans="20:20" x14ac:dyDescent="0.2">
      <c r="T127" t="s">
        <v>532</v>
      </c>
    </row>
    <row r="128" spans="20:20" x14ac:dyDescent="0.2">
      <c r="T128" t="s">
        <v>533</v>
      </c>
    </row>
    <row r="129" spans="20:20" x14ac:dyDescent="0.2">
      <c r="T129" t="s">
        <v>534</v>
      </c>
    </row>
    <row r="130" spans="20:20" x14ac:dyDescent="0.2">
      <c r="T130" t="s">
        <v>535</v>
      </c>
    </row>
    <row r="131" spans="20:20" x14ac:dyDescent="0.2">
      <c r="T131" t="s">
        <v>536</v>
      </c>
    </row>
    <row r="132" spans="20:20" x14ac:dyDescent="0.2">
      <c r="T132" t="s">
        <v>537</v>
      </c>
    </row>
    <row r="133" spans="20:20" x14ac:dyDescent="0.2">
      <c r="T133" t="s">
        <v>538</v>
      </c>
    </row>
    <row r="134" spans="20:20" x14ac:dyDescent="0.2">
      <c r="T134" t="s">
        <v>539</v>
      </c>
    </row>
    <row r="135" spans="20:20" x14ac:dyDescent="0.2">
      <c r="T135" t="s">
        <v>540</v>
      </c>
    </row>
    <row r="136" spans="20:20" x14ac:dyDescent="0.2">
      <c r="T136" t="s">
        <v>541</v>
      </c>
    </row>
    <row r="137" spans="20:20" x14ac:dyDescent="0.2">
      <c r="T137" t="s">
        <v>542</v>
      </c>
    </row>
    <row r="138" spans="20:20" x14ac:dyDescent="0.2">
      <c r="T138" t="s">
        <v>543</v>
      </c>
    </row>
    <row r="139" spans="20:20" x14ac:dyDescent="0.2">
      <c r="T139" t="s">
        <v>544</v>
      </c>
    </row>
    <row r="140" spans="20:20" x14ac:dyDescent="0.2">
      <c r="T140" t="s">
        <v>545</v>
      </c>
    </row>
    <row r="141" spans="20:20" x14ac:dyDescent="0.2">
      <c r="T141" t="s">
        <v>546</v>
      </c>
    </row>
    <row r="142" spans="20:20" x14ac:dyDescent="0.2">
      <c r="T142" t="s">
        <v>547</v>
      </c>
    </row>
    <row r="143" spans="20:20" x14ac:dyDescent="0.2">
      <c r="T143" t="s">
        <v>548</v>
      </c>
    </row>
    <row r="144" spans="20:20" x14ac:dyDescent="0.2">
      <c r="T144" t="s">
        <v>549</v>
      </c>
    </row>
    <row r="145" spans="20:20" x14ac:dyDescent="0.2">
      <c r="T145" t="s">
        <v>550</v>
      </c>
    </row>
    <row r="146" spans="20:20" x14ac:dyDescent="0.2">
      <c r="T146" t="s">
        <v>551</v>
      </c>
    </row>
    <row r="147" spans="20:20" x14ac:dyDescent="0.2">
      <c r="T147" t="s">
        <v>552</v>
      </c>
    </row>
    <row r="148" spans="20:20" x14ac:dyDescent="0.2">
      <c r="T148" t="s">
        <v>553</v>
      </c>
    </row>
    <row r="149" spans="20:20" x14ac:dyDescent="0.2">
      <c r="T149" t="s">
        <v>554</v>
      </c>
    </row>
    <row r="150" spans="20:20" x14ac:dyDescent="0.2">
      <c r="T150" t="s">
        <v>555</v>
      </c>
    </row>
    <row r="151" spans="20:20" x14ac:dyDescent="0.2">
      <c r="T151" t="s">
        <v>556</v>
      </c>
    </row>
    <row r="152" spans="20:20" x14ac:dyDescent="0.2">
      <c r="T152" t="s">
        <v>557</v>
      </c>
    </row>
    <row r="153" spans="20:20" x14ac:dyDescent="0.2">
      <c r="T153" t="s">
        <v>558</v>
      </c>
    </row>
    <row r="154" spans="20:20" x14ac:dyDescent="0.2">
      <c r="T154" t="s">
        <v>559</v>
      </c>
    </row>
    <row r="155" spans="20:20" x14ac:dyDescent="0.2">
      <c r="T155" t="s">
        <v>560</v>
      </c>
    </row>
    <row r="156" spans="20:20" x14ac:dyDescent="0.2">
      <c r="T156" t="s">
        <v>561</v>
      </c>
    </row>
    <row r="157" spans="20:20" x14ac:dyDescent="0.2">
      <c r="T157" t="s">
        <v>562</v>
      </c>
    </row>
    <row r="158" spans="20:20" x14ac:dyDescent="0.2">
      <c r="T158" t="s">
        <v>563</v>
      </c>
    </row>
    <row r="159" spans="20:20" x14ac:dyDescent="0.2">
      <c r="T159" t="s">
        <v>564</v>
      </c>
    </row>
    <row r="160" spans="20:20" x14ac:dyDescent="0.2">
      <c r="T160" t="s">
        <v>565</v>
      </c>
    </row>
    <row r="161" spans="20:20" x14ac:dyDescent="0.2">
      <c r="T161" t="s">
        <v>566</v>
      </c>
    </row>
    <row r="162" spans="20:20" x14ac:dyDescent="0.2">
      <c r="T162" t="s">
        <v>567</v>
      </c>
    </row>
    <row r="163" spans="20:20" x14ac:dyDescent="0.2">
      <c r="T163" t="s">
        <v>568</v>
      </c>
    </row>
    <row r="164" spans="20:20" x14ac:dyDescent="0.2">
      <c r="T164" t="s">
        <v>569</v>
      </c>
    </row>
    <row r="165" spans="20:20" x14ac:dyDescent="0.2">
      <c r="T165" t="s">
        <v>570</v>
      </c>
    </row>
    <row r="166" spans="20:20" x14ac:dyDescent="0.2">
      <c r="T166" t="s">
        <v>571</v>
      </c>
    </row>
    <row r="167" spans="20:20" x14ac:dyDescent="0.2">
      <c r="T167" t="s">
        <v>572</v>
      </c>
    </row>
    <row r="168" spans="20:20" x14ac:dyDescent="0.2">
      <c r="T168" t="s">
        <v>573</v>
      </c>
    </row>
    <row r="169" spans="20:20" x14ac:dyDescent="0.2">
      <c r="T169" t="s">
        <v>574</v>
      </c>
    </row>
    <row r="170" spans="20:20" x14ac:dyDescent="0.2">
      <c r="T170" t="s">
        <v>575</v>
      </c>
    </row>
    <row r="171" spans="20:20" x14ac:dyDescent="0.2">
      <c r="T171" t="s">
        <v>576</v>
      </c>
    </row>
    <row r="172" spans="20:20" x14ac:dyDescent="0.2">
      <c r="T172" t="s">
        <v>577</v>
      </c>
    </row>
    <row r="173" spans="20:20" x14ac:dyDescent="0.2">
      <c r="T173" t="s">
        <v>578</v>
      </c>
    </row>
    <row r="174" spans="20:20" x14ac:dyDescent="0.2">
      <c r="T174" t="s">
        <v>579</v>
      </c>
    </row>
    <row r="175" spans="20:20" x14ac:dyDescent="0.2">
      <c r="T175" t="s">
        <v>580</v>
      </c>
    </row>
    <row r="176" spans="20:20" x14ac:dyDescent="0.2">
      <c r="T176" t="s">
        <v>581</v>
      </c>
    </row>
    <row r="177" spans="20:20" x14ac:dyDescent="0.2">
      <c r="T177" t="s">
        <v>582</v>
      </c>
    </row>
    <row r="178" spans="20:20" x14ac:dyDescent="0.2">
      <c r="T178" t="s">
        <v>583</v>
      </c>
    </row>
    <row r="179" spans="20:20" x14ac:dyDescent="0.2">
      <c r="T179" t="s">
        <v>584</v>
      </c>
    </row>
    <row r="180" spans="20:20" x14ac:dyDescent="0.2">
      <c r="T180" t="s">
        <v>585</v>
      </c>
    </row>
    <row r="181" spans="20:20" x14ac:dyDescent="0.2">
      <c r="T181" t="s">
        <v>586</v>
      </c>
    </row>
    <row r="182" spans="20:20" x14ac:dyDescent="0.2">
      <c r="T182" t="s">
        <v>587</v>
      </c>
    </row>
    <row r="183" spans="20:20" x14ac:dyDescent="0.2">
      <c r="T183" t="s">
        <v>588</v>
      </c>
    </row>
    <row r="184" spans="20:20" x14ac:dyDescent="0.2">
      <c r="T184" t="s">
        <v>589</v>
      </c>
    </row>
    <row r="185" spans="20:20" x14ac:dyDescent="0.2">
      <c r="T185" t="s">
        <v>590</v>
      </c>
    </row>
    <row r="186" spans="20:20" x14ac:dyDescent="0.2">
      <c r="T186" t="s">
        <v>591</v>
      </c>
    </row>
    <row r="187" spans="20:20" x14ac:dyDescent="0.2">
      <c r="T187" t="s">
        <v>592</v>
      </c>
    </row>
    <row r="188" spans="20:20" x14ac:dyDescent="0.2">
      <c r="T188" t="s">
        <v>593</v>
      </c>
    </row>
    <row r="189" spans="20:20" x14ac:dyDescent="0.2">
      <c r="T189" t="s">
        <v>594</v>
      </c>
    </row>
    <row r="190" spans="20:20" x14ac:dyDescent="0.2">
      <c r="T190" t="s">
        <v>595</v>
      </c>
    </row>
    <row r="191" spans="20:20" x14ac:dyDescent="0.2">
      <c r="T191" t="s">
        <v>596</v>
      </c>
    </row>
    <row r="192" spans="20:20" x14ac:dyDescent="0.2">
      <c r="T192" t="s">
        <v>597</v>
      </c>
    </row>
    <row r="193" spans="20:20" x14ac:dyDescent="0.2">
      <c r="T193" t="s">
        <v>598</v>
      </c>
    </row>
    <row r="194" spans="20:20" x14ac:dyDescent="0.2">
      <c r="T194" t="s">
        <v>599</v>
      </c>
    </row>
    <row r="195" spans="20:20" x14ac:dyDescent="0.2">
      <c r="T195" t="s">
        <v>600</v>
      </c>
    </row>
    <row r="196" spans="20:20" x14ac:dyDescent="0.2">
      <c r="T196" t="s">
        <v>601</v>
      </c>
    </row>
    <row r="197" spans="20:20" x14ac:dyDescent="0.2">
      <c r="T197" t="s">
        <v>602</v>
      </c>
    </row>
    <row r="198" spans="20:20" x14ac:dyDescent="0.2">
      <c r="T198" t="s">
        <v>603</v>
      </c>
    </row>
    <row r="199" spans="20:20" x14ac:dyDescent="0.2">
      <c r="T199" t="s">
        <v>604</v>
      </c>
    </row>
    <row r="200" spans="20:20" x14ac:dyDescent="0.2">
      <c r="T200" t="s">
        <v>605</v>
      </c>
    </row>
    <row r="201" spans="20:20" x14ac:dyDescent="0.2">
      <c r="T201" t="s">
        <v>606</v>
      </c>
    </row>
    <row r="202" spans="20:20" x14ac:dyDescent="0.2">
      <c r="T202" t="s">
        <v>607</v>
      </c>
    </row>
    <row r="203" spans="20:20" x14ac:dyDescent="0.2">
      <c r="T203" t="s">
        <v>608</v>
      </c>
    </row>
    <row r="204" spans="20:20" x14ac:dyDescent="0.2">
      <c r="T204" t="s">
        <v>609</v>
      </c>
    </row>
    <row r="205" spans="20:20" x14ac:dyDescent="0.2">
      <c r="T205" t="s">
        <v>610</v>
      </c>
    </row>
    <row r="206" spans="20:20" x14ac:dyDescent="0.2">
      <c r="T206" t="s">
        <v>611</v>
      </c>
    </row>
    <row r="207" spans="20:20" x14ac:dyDescent="0.2">
      <c r="T207" t="s">
        <v>612</v>
      </c>
    </row>
    <row r="208" spans="20:20" x14ac:dyDescent="0.2">
      <c r="T208" t="s">
        <v>613</v>
      </c>
    </row>
    <row r="209" spans="20:20" x14ac:dyDescent="0.2">
      <c r="T209" t="s">
        <v>614</v>
      </c>
    </row>
    <row r="210" spans="20:20" x14ac:dyDescent="0.2">
      <c r="T210" t="s">
        <v>615</v>
      </c>
    </row>
    <row r="211" spans="20:20" x14ac:dyDescent="0.2">
      <c r="T211" t="s">
        <v>616</v>
      </c>
    </row>
    <row r="212" spans="20:20" x14ac:dyDescent="0.2">
      <c r="T212" t="s">
        <v>617</v>
      </c>
    </row>
    <row r="213" spans="20:20" x14ac:dyDescent="0.2">
      <c r="T213" t="s">
        <v>618</v>
      </c>
    </row>
    <row r="214" spans="20:20" x14ac:dyDescent="0.2">
      <c r="T214" t="s">
        <v>619</v>
      </c>
    </row>
    <row r="215" spans="20:20" x14ac:dyDescent="0.2">
      <c r="T215" t="s">
        <v>620</v>
      </c>
    </row>
    <row r="216" spans="20:20" x14ac:dyDescent="0.2">
      <c r="T216" t="s">
        <v>621</v>
      </c>
    </row>
    <row r="217" spans="20:20" x14ac:dyDescent="0.2">
      <c r="T217" t="s">
        <v>622</v>
      </c>
    </row>
    <row r="218" spans="20:20" x14ac:dyDescent="0.2">
      <c r="T218" t="s">
        <v>623</v>
      </c>
    </row>
    <row r="219" spans="20:20" x14ac:dyDescent="0.2">
      <c r="T219" t="s">
        <v>624</v>
      </c>
    </row>
    <row r="220" spans="20:20" x14ac:dyDescent="0.2">
      <c r="T220" t="s">
        <v>625</v>
      </c>
    </row>
    <row r="221" spans="20:20" x14ac:dyDescent="0.2">
      <c r="T221" t="s">
        <v>626</v>
      </c>
    </row>
    <row r="222" spans="20:20" x14ac:dyDescent="0.2">
      <c r="T222" t="s">
        <v>627</v>
      </c>
    </row>
    <row r="223" spans="20:20" x14ac:dyDescent="0.2">
      <c r="T223" t="s">
        <v>628</v>
      </c>
    </row>
    <row r="224" spans="20:20" x14ac:dyDescent="0.2">
      <c r="T224" t="s">
        <v>629</v>
      </c>
    </row>
    <row r="225" spans="20:20" x14ac:dyDescent="0.2">
      <c r="T225" t="s">
        <v>630</v>
      </c>
    </row>
    <row r="226" spans="20:20" x14ac:dyDescent="0.2">
      <c r="T226" t="s">
        <v>631</v>
      </c>
    </row>
    <row r="227" spans="20:20" x14ac:dyDescent="0.2">
      <c r="T227" t="s">
        <v>472</v>
      </c>
    </row>
    <row r="228" spans="20:20" x14ac:dyDescent="0.2">
      <c r="T228" t="s">
        <v>632</v>
      </c>
    </row>
    <row r="229" spans="20:20" x14ac:dyDescent="0.2">
      <c r="T229" t="s">
        <v>633</v>
      </c>
    </row>
    <row r="230" spans="20:20" x14ac:dyDescent="0.2">
      <c r="T230" t="s">
        <v>634</v>
      </c>
    </row>
    <row r="231" spans="20:20" x14ac:dyDescent="0.2">
      <c r="T231" t="s">
        <v>635</v>
      </c>
    </row>
    <row r="232" spans="20:20" x14ac:dyDescent="0.2">
      <c r="T232" t="s">
        <v>636</v>
      </c>
    </row>
    <row r="233" spans="20:20" x14ac:dyDescent="0.2">
      <c r="T233" t="s">
        <v>637</v>
      </c>
    </row>
    <row r="234" spans="20:20" x14ac:dyDescent="0.2">
      <c r="T234" t="s">
        <v>516</v>
      </c>
    </row>
    <row r="235" spans="20:20" x14ac:dyDescent="0.2">
      <c r="T235" t="s">
        <v>638</v>
      </c>
    </row>
    <row r="236" spans="20:20" x14ac:dyDescent="0.2">
      <c r="T236" t="s">
        <v>639</v>
      </c>
    </row>
    <row r="237" spans="20:20" x14ac:dyDescent="0.2">
      <c r="T237" t="s">
        <v>640</v>
      </c>
    </row>
    <row r="238" spans="20:20" x14ac:dyDescent="0.2">
      <c r="T238" t="s">
        <v>575</v>
      </c>
    </row>
    <row r="239" spans="20:20" x14ac:dyDescent="0.2">
      <c r="T239" t="s">
        <v>641</v>
      </c>
    </row>
    <row r="240" spans="20:20" x14ac:dyDescent="0.2">
      <c r="T240" t="s">
        <v>642</v>
      </c>
    </row>
    <row r="241" spans="20:20" x14ac:dyDescent="0.2">
      <c r="T241" t="s">
        <v>643</v>
      </c>
    </row>
    <row r="242" spans="20:20" x14ac:dyDescent="0.2">
      <c r="T242" t="s">
        <v>644</v>
      </c>
    </row>
    <row r="243" spans="20:20" x14ac:dyDescent="0.2">
      <c r="T243" t="s">
        <v>645</v>
      </c>
    </row>
    <row r="244" spans="20:20" x14ac:dyDescent="0.2">
      <c r="T244" t="s">
        <v>646</v>
      </c>
    </row>
    <row r="245" spans="20:20" x14ac:dyDescent="0.2">
      <c r="T245" t="s">
        <v>647</v>
      </c>
    </row>
    <row r="246" spans="20:20" x14ac:dyDescent="0.2">
      <c r="T246" t="s">
        <v>648</v>
      </c>
    </row>
    <row r="247" spans="20:20" x14ac:dyDescent="0.2">
      <c r="T247" t="s">
        <v>649</v>
      </c>
    </row>
    <row r="248" spans="20:20" x14ac:dyDescent="0.2">
      <c r="T248" t="s">
        <v>650</v>
      </c>
    </row>
    <row r="249" spans="20:20" x14ac:dyDescent="0.2">
      <c r="T249" t="s">
        <v>651</v>
      </c>
    </row>
    <row r="250" spans="20:20" x14ac:dyDescent="0.2">
      <c r="T250" t="s">
        <v>652</v>
      </c>
    </row>
    <row r="251" spans="20:20" x14ac:dyDescent="0.2">
      <c r="T251" t="s">
        <v>653</v>
      </c>
    </row>
    <row r="252" spans="20:20" x14ac:dyDescent="0.2">
      <c r="T252" t="s">
        <v>654</v>
      </c>
    </row>
    <row r="253" spans="20:20" x14ac:dyDescent="0.2">
      <c r="T253" t="s">
        <v>638</v>
      </c>
    </row>
    <row r="254" spans="20:20" x14ac:dyDescent="0.2">
      <c r="T254" t="s">
        <v>655</v>
      </c>
    </row>
    <row r="255" spans="20:20" x14ac:dyDescent="0.2">
      <c r="T255" t="s">
        <v>656</v>
      </c>
    </row>
    <row r="256" spans="20:20" x14ac:dyDescent="0.2">
      <c r="T256" t="s">
        <v>657</v>
      </c>
    </row>
    <row r="257" spans="20:20" x14ac:dyDescent="0.2">
      <c r="T257" t="s">
        <v>496</v>
      </c>
    </row>
    <row r="258" spans="20:20" x14ac:dyDescent="0.2">
      <c r="T258" t="s">
        <v>427</v>
      </c>
    </row>
    <row r="259" spans="20:20" x14ac:dyDescent="0.2">
      <c r="T259" t="s">
        <v>658</v>
      </c>
    </row>
    <row r="260" spans="20:20" x14ac:dyDescent="0.2">
      <c r="T260" t="s">
        <v>659</v>
      </c>
    </row>
    <row r="261" spans="20:20" x14ac:dyDescent="0.2">
      <c r="T261" t="s">
        <v>660</v>
      </c>
    </row>
    <row r="262" spans="20:20" x14ac:dyDescent="0.2">
      <c r="T262" t="s">
        <v>661</v>
      </c>
    </row>
    <row r="263" spans="20:20" x14ac:dyDescent="0.2">
      <c r="T263" t="s">
        <v>662</v>
      </c>
    </row>
    <row r="264" spans="20:20" x14ac:dyDescent="0.2">
      <c r="T264" t="s">
        <v>663</v>
      </c>
    </row>
    <row r="265" spans="20:20" x14ac:dyDescent="0.2">
      <c r="T265" t="s">
        <v>664</v>
      </c>
    </row>
    <row r="266" spans="20:20" x14ac:dyDescent="0.2">
      <c r="T266" t="s">
        <v>665</v>
      </c>
    </row>
    <row r="267" spans="20:20" x14ac:dyDescent="0.2">
      <c r="T267" t="s">
        <v>666</v>
      </c>
    </row>
    <row r="268" spans="20:20" x14ac:dyDescent="0.2">
      <c r="T268" t="s">
        <v>667</v>
      </c>
    </row>
    <row r="269" spans="20:20" x14ac:dyDescent="0.2">
      <c r="T269" t="s">
        <v>668</v>
      </c>
    </row>
    <row r="270" spans="20:20" x14ac:dyDescent="0.2">
      <c r="T270" t="s">
        <v>669</v>
      </c>
    </row>
    <row r="271" spans="20:20" x14ac:dyDescent="0.2">
      <c r="T271" t="s">
        <v>670</v>
      </c>
    </row>
    <row r="272" spans="20:20" x14ac:dyDescent="0.2">
      <c r="T272" t="s">
        <v>671</v>
      </c>
    </row>
    <row r="273" spans="20:20" x14ac:dyDescent="0.2">
      <c r="T273" t="s">
        <v>672</v>
      </c>
    </row>
    <row r="274" spans="20:20" x14ac:dyDescent="0.2">
      <c r="T274" t="s">
        <v>673</v>
      </c>
    </row>
    <row r="275" spans="20:20" x14ac:dyDescent="0.2">
      <c r="T275" t="s">
        <v>674</v>
      </c>
    </row>
    <row r="276" spans="20:20" x14ac:dyDescent="0.2">
      <c r="T276" t="s">
        <v>675</v>
      </c>
    </row>
    <row r="277" spans="20:20" x14ac:dyDescent="0.2">
      <c r="T277" t="s">
        <v>676</v>
      </c>
    </row>
    <row r="278" spans="20:20" x14ac:dyDescent="0.2">
      <c r="T278" t="s">
        <v>677</v>
      </c>
    </row>
    <row r="279" spans="20:20" x14ac:dyDescent="0.2">
      <c r="T279" t="s">
        <v>678</v>
      </c>
    </row>
    <row r="280" spans="20:20" x14ac:dyDescent="0.2">
      <c r="T280" t="s">
        <v>679</v>
      </c>
    </row>
    <row r="281" spans="20:20" x14ac:dyDescent="0.2">
      <c r="T281" t="s">
        <v>680</v>
      </c>
    </row>
    <row r="282" spans="20:20" x14ac:dyDescent="0.2">
      <c r="T282" t="s">
        <v>681</v>
      </c>
    </row>
    <row r="283" spans="20:20" x14ac:dyDescent="0.2">
      <c r="T283" t="s">
        <v>682</v>
      </c>
    </row>
    <row r="284" spans="20:20" x14ac:dyDescent="0.2">
      <c r="T284" t="s">
        <v>683</v>
      </c>
    </row>
    <row r="285" spans="20:20" x14ac:dyDescent="0.2">
      <c r="T285" t="s">
        <v>684</v>
      </c>
    </row>
    <row r="286" spans="20:20" x14ac:dyDescent="0.2">
      <c r="T286" t="s">
        <v>685</v>
      </c>
    </row>
    <row r="287" spans="20:20" x14ac:dyDescent="0.2">
      <c r="T287" t="s">
        <v>686</v>
      </c>
    </row>
    <row r="288" spans="20:20" x14ac:dyDescent="0.2">
      <c r="T288" t="s">
        <v>687</v>
      </c>
    </row>
    <row r="289" spans="20:20" x14ac:dyDescent="0.2">
      <c r="T289" t="s">
        <v>688</v>
      </c>
    </row>
    <row r="290" spans="20:20" x14ac:dyDescent="0.2">
      <c r="T290" t="s">
        <v>689</v>
      </c>
    </row>
    <row r="291" spans="20:20" x14ac:dyDescent="0.2">
      <c r="T291" t="s">
        <v>690</v>
      </c>
    </row>
    <row r="292" spans="20:20" x14ac:dyDescent="0.2">
      <c r="T292" t="s">
        <v>691</v>
      </c>
    </row>
    <row r="293" spans="20:20" x14ac:dyDescent="0.2">
      <c r="T293" t="s">
        <v>692</v>
      </c>
    </row>
    <row r="294" spans="20:20" x14ac:dyDescent="0.2">
      <c r="T294" t="s">
        <v>693</v>
      </c>
    </row>
    <row r="295" spans="20:20" x14ac:dyDescent="0.2">
      <c r="T295" t="s">
        <v>694</v>
      </c>
    </row>
    <row r="296" spans="20:20" x14ac:dyDescent="0.2">
      <c r="T296" t="s">
        <v>695</v>
      </c>
    </row>
    <row r="297" spans="20:20" x14ac:dyDescent="0.2">
      <c r="T297" t="s">
        <v>696</v>
      </c>
    </row>
    <row r="298" spans="20:20" x14ac:dyDescent="0.2">
      <c r="T298" t="s">
        <v>697</v>
      </c>
    </row>
    <row r="299" spans="20:20" x14ac:dyDescent="0.2">
      <c r="T299" t="s">
        <v>698</v>
      </c>
    </row>
    <row r="300" spans="20:20" x14ac:dyDescent="0.2">
      <c r="T300" t="s">
        <v>699</v>
      </c>
    </row>
    <row r="301" spans="20:20" x14ac:dyDescent="0.2">
      <c r="T301" t="s">
        <v>700</v>
      </c>
    </row>
    <row r="302" spans="20:20" x14ac:dyDescent="0.2">
      <c r="T302" t="s">
        <v>701</v>
      </c>
    </row>
    <row r="303" spans="20:20" x14ac:dyDescent="0.2">
      <c r="T303" t="s">
        <v>702</v>
      </c>
    </row>
    <row r="304" spans="20:20" x14ac:dyDescent="0.2">
      <c r="T304" t="s">
        <v>703</v>
      </c>
    </row>
    <row r="305" spans="20:20" x14ac:dyDescent="0.2">
      <c r="T305" t="s">
        <v>704</v>
      </c>
    </row>
    <row r="306" spans="20:20" x14ac:dyDescent="0.2">
      <c r="T306" t="s">
        <v>705</v>
      </c>
    </row>
    <row r="307" spans="20:20" x14ac:dyDescent="0.2">
      <c r="T307" t="s">
        <v>706</v>
      </c>
    </row>
    <row r="308" spans="20:20" x14ac:dyDescent="0.2">
      <c r="T308" t="s">
        <v>707</v>
      </c>
    </row>
    <row r="309" spans="20:20" x14ac:dyDescent="0.2">
      <c r="T309" t="s">
        <v>708</v>
      </c>
    </row>
    <row r="310" spans="20:20" x14ac:dyDescent="0.2">
      <c r="T310" t="s">
        <v>709</v>
      </c>
    </row>
    <row r="311" spans="20:20" x14ac:dyDescent="0.2">
      <c r="T311" t="s">
        <v>710</v>
      </c>
    </row>
    <row r="312" spans="20:20" x14ac:dyDescent="0.2">
      <c r="T312" t="s">
        <v>711</v>
      </c>
    </row>
    <row r="313" spans="20:20" x14ac:dyDescent="0.2">
      <c r="T313" t="s">
        <v>712</v>
      </c>
    </row>
    <row r="314" spans="20:20" x14ac:dyDescent="0.2">
      <c r="T314" t="s">
        <v>713</v>
      </c>
    </row>
    <row r="315" spans="20:20" x14ac:dyDescent="0.2">
      <c r="T315" t="s">
        <v>714</v>
      </c>
    </row>
    <row r="316" spans="20:20" x14ac:dyDescent="0.2">
      <c r="T316" t="s">
        <v>715</v>
      </c>
    </row>
    <row r="317" spans="20:20" x14ac:dyDescent="0.2">
      <c r="T317" t="s">
        <v>716</v>
      </c>
    </row>
    <row r="318" spans="20:20" x14ac:dyDescent="0.2">
      <c r="T318" t="s">
        <v>717</v>
      </c>
    </row>
    <row r="319" spans="20:20" x14ac:dyDescent="0.2">
      <c r="T319" t="s">
        <v>718</v>
      </c>
    </row>
    <row r="320" spans="20:20" x14ac:dyDescent="0.2">
      <c r="T320" t="s">
        <v>719</v>
      </c>
    </row>
    <row r="321" spans="20:20" x14ac:dyDescent="0.2">
      <c r="T321" t="s">
        <v>720</v>
      </c>
    </row>
    <row r="322" spans="20:20" x14ac:dyDescent="0.2">
      <c r="T322" t="s">
        <v>721</v>
      </c>
    </row>
    <row r="323" spans="20:20" x14ac:dyDescent="0.2">
      <c r="T323" t="s">
        <v>722</v>
      </c>
    </row>
    <row r="324" spans="20:20" x14ac:dyDescent="0.2">
      <c r="T324" t="s">
        <v>723</v>
      </c>
    </row>
    <row r="325" spans="20:20" x14ac:dyDescent="0.2">
      <c r="T325" t="s">
        <v>724</v>
      </c>
    </row>
    <row r="326" spans="20:20" x14ac:dyDescent="0.2">
      <c r="T326" t="s">
        <v>725</v>
      </c>
    </row>
    <row r="327" spans="20:20" x14ac:dyDescent="0.2">
      <c r="T327" t="s">
        <v>726</v>
      </c>
    </row>
    <row r="328" spans="20:20" x14ac:dyDescent="0.2">
      <c r="T328" t="s">
        <v>727</v>
      </c>
    </row>
    <row r="329" spans="20:20" x14ac:dyDescent="0.2">
      <c r="T329" t="s">
        <v>728</v>
      </c>
    </row>
    <row r="330" spans="20:20" x14ac:dyDescent="0.2">
      <c r="T330" t="s">
        <v>729</v>
      </c>
    </row>
    <row r="331" spans="20:20" x14ac:dyDescent="0.2">
      <c r="T331" t="s">
        <v>730</v>
      </c>
    </row>
    <row r="332" spans="20:20" x14ac:dyDescent="0.2">
      <c r="T332" t="s">
        <v>731</v>
      </c>
    </row>
    <row r="333" spans="20:20" x14ac:dyDescent="0.2">
      <c r="T333" t="s">
        <v>732</v>
      </c>
    </row>
    <row r="334" spans="20:20" x14ac:dyDescent="0.2">
      <c r="T334" t="s">
        <v>733</v>
      </c>
    </row>
    <row r="335" spans="20:20" x14ac:dyDescent="0.2">
      <c r="T335" t="s">
        <v>734</v>
      </c>
    </row>
    <row r="336" spans="20:20" x14ac:dyDescent="0.2">
      <c r="T336" t="s">
        <v>735</v>
      </c>
    </row>
    <row r="337" spans="20:20" x14ac:dyDescent="0.2">
      <c r="T337" t="s">
        <v>736</v>
      </c>
    </row>
    <row r="338" spans="20:20" x14ac:dyDescent="0.2">
      <c r="T338" t="s">
        <v>737</v>
      </c>
    </row>
    <row r="339" spans="20:20" x14ac:dyDescent="0.2">
      <c r="T339" t="s">
        <v>738</v>
      </c>
    </row>
    <row r="340" spans="20:20" x14ac:dyDescent="0.2">
      <c r="T340" t="s">
        <v>739</v>
      </c>
    </row>
    <row r="341" spans="20:20" x14ac:dyDescent="0.2">
      <c r="T341" t="s">
        <v>740</v>
      </c>
    </row>
    <row r="342" spans="20:20" x14ac:dyDescent="0.2">
      <c r="T342" t="s">
        <v>741</v>
      </c>
    </row>
    <row r="343" spans="20:20" x14ac:dyDescent="0.2">
      <c r="T343" t="s">
        <v>742</v>
      </c>
    </row>
    <row r="344" spans="20:20" x14ac:dyDescent="0.2">
      <c r="T344" t="s">
        <v>743</v>
      </c>
    </row>
    <row r="345" spans="20:20" x14ac:dyDescent="0.2">
      <c r="T345" t="s">
        <v>744</v>
      </c>
    </row>
    <row r="346" spans="20:20" x14ac:dyDescent="0.2">
      <c r="T346" t="s">
        <v>745</v>
      </c>
    </row>
    <row r="347" spans="20:20" x14ac:dyDescent="0.2">
      <c r="T347" t="s">
        <v>746</v>
      </c>
    </row>
    <row r="348" spans="20:20" x14ac:dyDescent="0.2">
      <c r="T348" t="s">
        <v>747</v>
      </c>
    </row>
    <row r="349" spans="20:20" x14ac:dyDescent="0.2">
      <c r="T349" t="s">
        <v>748</v>
      </c>
    </row>
    <row r="350" spans="20:20" x14ac:dyDescent="0.2">
      <c r="T350" t="s">
        <v>749</v>
      </c>
    </row>
    <row r="351" spans="20:20" x14ac:dyDescent="0.2">
      <c r="T351" t="s">
        <v>750</v>
      </c>
    </row>
    <row r="352" spans="20:20" x14ac:dyDescent="0.2">
      <c r="T352" t="s">
        <v>751</v>
      </c>
    </row>
    <row r="353" spans="20:20" x14ac:dyDescent="0.2">
      <c r="T353" t="s">
        <v>752</v>
      </c>
    </row>
    <row r="354" spans="20:20" x14ac:dyDescent="0.2">
      <c r="T354" t="s">
        <v>753</v>
      </c>
    </row>
    <row r="355" spans="20:20" x14ac:dyDescent="0.2">
      <c r="T355" t="s">
        <v>754</v>
      </c>
    </row>
    <row r="356" spans="20:20" x14ac:dyDescent="0.2">
      <c r="T356" t="s">
        <v>755</v>
      </c>
    </row>
    <row r="357" spans="20:20" x14ac:dyDescent="0.2">
      <c r="T357" t="s">
        <v>756</v>
      </c>
    </row>
    <row r="358" spans="20:20" x14ac:dyDescent="0.2">
      <c r="T358" t="s">
        <v>757</v>
      </c>
    </row>
    <row r="359" spans="20:20" x14ac:dyDescent="0.2">
      <c r="T359" t="s">
        <v>758</v>
      </c>
    </row>
    <row r="360" spans="20:20" x14ac:dyDescent="0.2">
      <c r="T360" t="s">
        <v>759</v>
      </c>
    </row>
    <row r="361" spans="20:20" x14ac:dyDescent="0.2">
      <c r="T361" t="s">
        <v>760</v>
      </c>
    </row>
    <row r="362" spans="20:20" x14ac:dyDescent="0.2">
      <c r="T362" t="s">
        <v>761</v>
      </c>
    </row>
    <row r="363" spans="20:20" x14ac:dyDescent="0.2">
      <c r="T363" t="s">
        <v>762</v>
      </c>
    </row>
    <row r="364" spans="20:20" x14ac:dyDescent="0.2">
      <c r="T364" t="s">
        <v>763</v>
      </c>
    </row>
    <row r="365" spans="20:20" x14ac:dyDescent="0.2">
      <c r="T365" t="s">
        <v>764</v>
      </c>
    </row>
    <row r="366" spans="20:20" x14ac:dyDescent="0.2">
      <c r="T366" t="s">
        <v>765</v>
      </c>
    </row>
    <row r="367" spans="20:20" x14ac:dyDescent="0.2">
      <c r="T367" t="s">
        <v>766</v>
      </c>
    </row>
    <row r="368" spans="20:20" x14ac:dyDescent="0.2">
      <c r="T368" t="s">
        <v>767</v>
      </c>
    </row>
    <row r="369" spans="20:20" x14ac:dyDescent="0.2">
      <c r="T369" t="s">
        <v>768</v>
      </c>
    </row>
    <row r="370" spans="20:20" x14ac:dyDescent="0.2">
      <c r="T370" t="s">
        <v>769</v>
      </c>
    </row>
    <row r="371" spans="20:20" x14ac:dyDescent="0.2">
      <c r="T371" t="s">
        <v>770</v>
      </c>
    </row>
    <row r="372" spans="20:20" x14ac:dyDescent="0.2">
      <c r="T372" t="s">
        <v>771</v>
      </c>
    </row>
    <row r="373" spans="20:20" x14ac:dyDescent="0.2">
      <c r="T373" t="s">
        <v>772</v>
      </c>
    </row>
    <row r="374" spans="20:20" x14ac:dyDescent="0.2">
      <c r="T374" t="s">
        <v>773</v>
      </c>
    </row>
    <row r="375" spans="20:20" x14ac:dyDescent="0.2">
      <c r="T375" t="s">
        <v>774</v>
      </c>
    </row>
    <row r="376" spans="20:20" x14ac:dyDescent="0.2">
      <c r="T376" t="s">
        <v>775</v>
      </c>
    </row>
    <row r="377" spans="20:20" x14ac:dyDescent="0.2">
      <c r="T377" t="s">
        <v>776</v>
      </c>
    </row>
    <row r="378" spans="20:20" x14ac:dyDescent="0.2">
      <c r="T378" t="s">
        <v>777</v>
      </c>
    </row>
    <row r="379" spans="20:20" x14ac:dyDescent="0.2">
      <c r="T379" t="s">
        <v>778</v>
      </c>
    </row>
    <row r="380" spans="20:20" x14ac:dyDescent="0.2">
      <c r="T380" t="s">
        <v>779</v>
      </c>
    </row>
    <row r="381" spans="20:20" x14ac:dyDescent="0.2">
      <c r="T381" t="s">
        <v>780</v>
      </c>
    </row>
    <row r="382" spans="20:20" x14ac:dyDescent="0.2">
      <c r="T382" t="s">
        <v>781</v>
      </c>
    </row>
    <row r="383" spans="20:20" x14ac:dyDescent="0.2">
      <c r="T383" t="s">
        <v>782</v>
      </c>
    </row>
    <row r="384" spans="20:20" x14ac:dyDescent="0.2">
      <c r="T384" t="s">
        <v>783</v>
      </c>
    </row>
    <row r="385" spans="20:20" x14ac:dyDescent="0.2">
      <c r="T385" t="s">
        <v>784</v>
      </c>
    </row>
    <row r="386" spans="20:20" x14ac:dyDescent="0.2">
      <c r="T386" t="s">
        <v>638</v>
      </c>
    </row>
    <row r="387" spans="20:20" x14ac:dyDescent="0.2">
      <c r="T387" t="s">
        <v>496</v>
      </c>
    </row>
    <row r="388" spans="20:20" x14ac:dyDescent="0.2">
      <c r="T388" t="s">
        <v>785</v>
      </c>
    </row>
    <row r="389" spans="20:20" x14ac:dyDescent="0.2">
      <c r="T389" t="s">
        <v>786</v>
      </c>
    </row>
    <row r="390" spans="20:20" x14ac:dyDescent="0.2">
      <c r="T390" t="s">
        <v>472</v>
      </c>
    </row>
    <row r="391" spans="20:20" x14ac:dyDescent="0.2">
      <c r="T391" t="s">
        <v>473</v>
      </c>
    </row>
    <row r="392" spans="20:20" x14ac:dyDescent="0.2">
      <c r="T392" t="s">
        <v>787</v>
      </c>
    </row>
    <row r="393" spans="20:20" x14ac:dyDescent="0.2">
      <c r="T393" t="s">
        <v>788</v>
      </c>
    </row>
    <row r="394" spans="20:20" x14ac:dyDescent="0.2">
      <c r="T394" t="s">
        <v>789</v>
      </c>
    </row>
    <row r="395" spans="20:20" x14ac:dyDescent="0.2">
      <c r="T395" t="s">
        <v>790</v>
      </c>
    </row>
    <row r="396" spans="20:20" x14ac:dyDescent="0.2">
      <c r="T396" t="s">
        <v>791</v>
      </c>
    </row>
    <row r="397" spans="20:20" x14ac:dyDescent="0.2">
      <c r="T397" t="s">
        <v>792</v>
      </c>
    </row>
    <row r="398" spans="20:20" x14ac:dyDescent="0.2">
      <c r="T398" t="s">
        <v>793</v>
      </c>
    </row>
    <row r="399" spans="20:20" x14ac:dyDescent="0.2">
      <c r="T399" t="s">
        <v>794</v>
      </c>
    </row>
    <row r="400" spans="20:20" x14ac:dyDescent="0.2">
      <c r="T400" t="s">
        <v>795</v>
      </c>
    </row>
    <row r="401" spans="20:20" x14ac:dyDescent="0.2">
      <c r="T401" t="s">
        <v>796</v>
      </c>
    </row>
    <row r="402" spans="20:20" x14ac:dyDescent="0.2">
      <c r="T402" t="s">
        <v>797</v>
      </c>
    </row>
    <row r="403" spans="20:20" x14ac:dyDescent="0.2">
      <c r="T403" t="s">
        <v>798</v>
      </c>
    </row>
    <row r="404" spans="20:20" x14ac:dyDescent="0.2">
      <c r="T404" t="s">
        <v>799</v>
      </c>
    </row>
    <row r="405" spans="20:20" x14ac:dyDescent="0.2">
      <c r="T405" t="s">
        <v>800</v>
      </c>
    </row>
    <row r="406" spans="20:20" x14ac:dyDescent="0.2">
      <c r="T406" t="s">
        <v>801</v>
      </c>
    </row>
    <row r="407" spans="20:20" x14ac:dyDescent="0.2">
      <c r="T407" t="s">
        <v>802</v>
      </c>
    </row>
    <row r="408" spans="20:20" x14ac:dyDescent="0.2">
      <c r="T408" t="s">
        <v>803</v>
      </c>
    </row>
    <row r="409" spans="20:20" x14ac:dyDescent="0.2">
      <c r="T409" t="s">
        <v>804</v>
      </c>
    </row>
    <row r="410" spans="20:20" x14ac:dyDescent="0.2">
      <c r="T410" t="s">
        <v>805</v>
      </c>
    </row>
    <row r="411" spans="20:20" x14ac:dyDescent="0.2">
      <c r="T411" t="s">
        <v>806</v>
      </c>
    </row>
    <row r="412" spans="20:20" x14ac:dyDescent="0.2">
      <c r="T412" t="s">
        <v>807</v>
      </c>
    </row>
    <row r="413" spans="20:20" x14ac:dyDescent="0.2">
      <c r="T413" t="s">
        <v>808</v>
      </c>
    </row>
    <row r="414" spans="20:20" x14ac:dyDescent="0.2">
      <c r="T414" t="s">
        <v>809</v>
      </c>
    </row>
    <row r="415" spans="20:20" x14ac:dyDescent="0.2">
      <c r="T415" t="s">
        <v>810</v>
      </c>
    </row>
    <row r="416" spans="20:20" x14ac:dyDescent="0.2">
      <c r="T416" t="s">
        <v>811</v>
      </c>
    </row>
    <row r="417" spans="20:20" x14ac:dyDescent="0.2">
      <c r="T417" t="s">
        <v>812</v>
      </c>
    </row>
    <row r="418" spans="20:20" x14ac:dyDescent="0.2">
      <c r="T418" t="s">
        <v>813</v>
      </c>
    </row>
    <row r="419" spans="20:20" x14ac:dyDescent="0.2">
      <c r="T419" t="s">
        <v>814</v>
      </c>
    </row>
    <row r="420" spans="20:20" x14ac:dyDescent="0.2">
      <c r="T420" t="s">
        <v>815</v>
      </c>
    </row>
    <row r="421" spans="20:20" x14ac:dyDescent="0.2">
      <c r="T421" t="s">
        <v>638</v>
      </c>
    </row>
    <row r="422" spans="20:20" x14ac:dyDescent="0.2">
      <c r="T422" t="s">
        <v>496</v>
      </c>
    </row>
    <row r="423" spans="20:20" x14ac:dyDescent="0.2">
      <c r="T423" t="s">
        <v>816</v>
      </c>
    </row>
    <row r="424" spans="20:20" x14ac:dyDescent="0.2">
      <c r="T424" t="s">
        <v>817</v>
      </c>
    </row>
    <row r="425" spans="20:20" x14ac:dyDescent="0.2">
      <c r="T425" t="s">
        <v>818</v>
      </c>
    </row>
    <row r="426" spans="20:20" x14ac:dyDescent="0.2">
      <c r="T426" t="s">
        <v>819</v>
      </c>
    </row>
    <row r="427" spans="20:20" x14ac:dyDescent="0.2">
      <c r="T427" t="s">
        <v>820</v>
      </c>
    </row>
    <row r="428" spans="20:20" x14ac:dyDescent="0.2">
      <c r="T428" t="s">
        <v>821</v>
      </c>
    </row>
    <row r="429" spans="20:20" x14ac:dyDescent="0.2">
      <c r="T429" t="s">
        <v>822</v>
      </c>
    </row>
    <row r="430" spans="20:20" x14ac:dyDescent="0.2">
      <c r="T430" t="s">
        <v>823</v>
      </c>
    </row>
    <row r="431" spans="20:20" x14ac:dyDescent="0.2">
      <c r="T431" t="s">
        <v>824</v>
      </c>
    </row>
    <row r="432" spans="20:20" x14ac:dyDescent="0.2">
      <c r="T432" t="s">
        <v>825</v>
      </c>
    </row>
    <row r="433" spans="20:20" x14ac:dyDescent="0.2">
      <c r="T433" t="s">
        <v>826</v>
      </c>
    </row>
    <row r="434" spans="20:20" x14ac:dyDescent="0.2">
      <c r="T434" t="s">
        <v>827</v>
      </c>
    </row>
    <row r="435" spans="20:20" x14ac:dyDescent="0.2">
      <c r="T435" t="s">
        <v>828</v>
      </c>
    </row>
    <row r="436" spans="20:20" x14ac:dyDescent="0.2">
      <c r="T436" t="s">
        <v>829</v>
      </c>
    </row>
    <row r="437" spans="20:20" x14ac:dyDescent="0.2">
      <c r="T437" t="s">
        <v>830</v>
      </c>
    </row>
    <row r="438" spans="20:20" x14ac:dyDescent="0.2">
      <c r="T438" t="s">
        <v>831</v>
      </c>
    </row>
    <row r="439" spans="20:20" x14ac:dyDescent="0.2">
      <c r="T439" t="s">
        <v>832</v>
      </c>
    </row>
    <row r="440" spans="20:20" x14ac:dyDescent="0.2">
      <c r="T440" t="s">
        <v>833</v>
      </c>
    </row>
    <row r="441" spans="20:20" x14ac:dyDescent="0.2">
      <c r="T441" t="s">
        <v>834</v>
      </c>
    </row>
    <row r="442" spans="20:20" x14ac:dyDescent="0.2">
      <c r="T442" t="s">
        <v>835</v>
      </c>
    </row>
    <row r="443" spans="20:20" x14ac:dyDescent="0.2">
      <c r="T443" t="s">
        <v>496</v>
      </c>
    </row>
    <row r="444" spans="20:20" x14ac:dyDescent="0.2">
      <c r="T444" t="s">
        <v>836</v>
      </c>
    </row>
    <row r="445" spans="20:20" x14ac:dyDescent="0.2">
      <c r="T445" t="s">
        <v>837</v>
      </c>
    </row>
    <row r="446" spans="20:20" x14ac:dyDescent="0.2">
      <c r="T446" t="s">
        <v>838</v>
      </c>
    </row>
    <row r="447" spans="20:20" x14ac:dyDescent="0.2">
      <c r="T447" t="s">
        <v>496</v>
      </c>
    </row>
    <row r="448" spans="20:20" x14ac:dyDescent="0.2">
      <c r="T448" t="s">
        <v>839</v>
      </c>
    </row>
    <row r="449" spans="20:20" x14ac:dyDescent="0.2">
      <c r="T449" t="s">
        <v>840</v>
      </c>
    </row>
    <row r="450" spans="20:20" x14ac:dyDescent="0.2">
      <c r="T450" t="s">
        <v>841</v>
      </c>
    </row>
    <row r="451" spans="20:20" x14ac:dyDescent="0.2">
      <c r="T451" t="s">
        <v>842</v>
      </c>
    </row>
    <row r="452" spans="20:20" x14ac:dyDescent="0.2">
      <c r="T452" t="s">
        <v>843</v>
      </c>
    </row>
    <row r="453" spans="20:20" x14ac:dyDescent="0.2">
      <c r="T453" t="s">
        <v>844</v>
      </c>
    </row>
    <row r="454" spans="20:20" x14ac:dyDescent="0.2">
      <c r="T454" t="s">
        <v>845</v>
      </c>
    </row>
    <row r="455" spans="20:20" x14ac:dyDescent="0.2">
      <c r="T455" t="s">
        <v>846</v>
      </c>
    </row>
    <row r="456" spans="20:20" x14ac:dyDescent="0.2">
      <c r="T456" t="s">
        <v>847</v>
      </c>
    </row>
    <row r="457" spans="20:20" x14ac:dyDescent="0.2">
      <c r="T457" t="s">
        <v>848</v>
      </c>
    </row>
    <row r="458" spans="20:20" x14ac:dyDescent="0.2">
      <c r="T458" t="s">
        <v>496</v>
      </c>
    </row>
    <row r="459" spans="20:20" x14ac:dyDescent="0.2">
      <c r="T459" t="s">
        <v>849</v>
      </c>
    </row>
    <row r="460" spans="20:20" x14ac:dyDescent="0.2">
      <c r="T460" t="s">
        <v>850</v>
      </c>
    </row>
    <row r="461" spans="20:20" x14ac:dyDescent="0.2">
      <c r="T461" t="s">
        <v>851</v>
      </c>
    </row>
    <row r="462" spans="20:20" x14ac:dyDescent="0.2">
      <c r="T462" t="s">
        <v>852</v>
      </c>
    </row>
    <row r="463" spans="20:20" x14ac:dyDescent="0.2">
      <c r="T463" t="s">
        <v>853</v>
      </c>
    </row>
    <row r="464" spans="20:20" x14ac:dyDescent="0.2">
      <c r="T464" t="s">
        <v>854</v>
      </c>
    </row>
    <row r="465" spans="20:20" x14ac:dyDescent="0.2">
      <c r="T465" t="s">
        <v>855</v>
      </c>
    </row>
    <row r="466" spans="20:20" x14ac:dyDescent="0.2">
      <c r="T466" t="s">
        <v>856</v>
      </c>
    </row>
    <row r="467" spans="20:20" x14ac:dyDescent="0.2">
      <c r="T467" t="s">
        <v>857</v>
      </c>
    </row>
    <row r="468" spans="20:20" x14ac:dyDescent="0.2">
      <c r="T468" t="s">
        <v>858</v>
      </c>
    </row>
    <row r="469" spans="20:20" x14ac:dyDescent="0.2">
      <c r="T469" t="s">
        <v>859</v>
      </c>
    </row>
    <row r="470" spans="20:20" x14ac:dyDescent="0.2">
      <c r="T470" t="s">
        <v>860</v>
      </c>
    </row>
    <row r="471" spans="20:20" x14ac:dyDescent="0.2">
      <c r="T471" t="s">
        <v>861</v>
      </c>
    </row>
    <row r="472" spans="20:20" x14ac:dyDescent="0.2">
      <c r="T472" t="s">
        <v>427</v>
      </c>
    </row>
    <row r="473" spans="20:20" x14ac:dyDescent="0.2">
      <c r="T473" t="s">
        <v>429</v>
      </c>
    </row>
    <row r="474" spans="20:20" x14ac:dyDescent="0.2">
      <c r="T474" t="s">
        <v>862</v>
      </c>
    </row>
    <row r="475" spans="20:20" x14ac:dyDescent="0.2">
      <c r="T475" t="s">
        <v>863</v>
      </c>
    </row>
    <row r="476" spans="20:20" x14ac:dyDescent="0.2">
      <c r="T476" t="s">
        <v>864</v>
      </c>
    </row>
    <row r="477" spans="20:20" x14ac:dyDescent="0.2">
      <c r="T477" t="s">
        <v>865</v>
      </c>
    </row>
    <row r="478" spans="20:20" x14ac:dyDescent="0.2">
      <c r="T478" t="s">
        <v>866</v>
      </c>
    </row>
    <row r="479" spans="20:20" x14ac:dyDescent="0.2">
      <c r="T479" t="s">
        <v>867</v>
      </c>
    </row>
    <row r="480" spans="20:20" x14ac:dyDescent="0.2">
      <c r="T480" t="s">
        <v>868</v>
      </c>
    </row>
    <row r="481" spans="20:20" x14ac:dyDescent="0.2">
      <c r="T481" t="s">
        <v>869</v>
      </c>
    </row>
    <row r="482" spans="20:20" x14ac:dyDescent="0.2">
      <c r="T482" t="s">
        <v>472</v>
      </c>
    </row>
    <row r="483" spans="20:20" x14ac:dyDescent="0.2">
      <c r="T483" t="s">
        <v>473</v>
      </c>
    </row>
    <row r="484" spans="20:20" x14ac:dyDescent="0.2">
      <c r="T484" t="s">
        <v>427</v>
      </c>
    </row>
    <row r="485" spans="20:20" x14ac:dyDescent="0.2">
      <c r="T485" t="s">
        <v>870</v>
      </c>
    </row>
    <row r="486" spans="20:20" x14ac:dyDescent="0.2">
      <c r="T486" t="s">
        <v>871</v>
      </c>
    </row>
    <row r="487" spans="20:20" x14ac:dyDescent="0.2">
      <c r="T487" t="s">
        <v>872</v>
      </c>
    </row>
    <row r="488" spans="20:20" x14ac:dyDescent="0.2">
      <c r="T488" t="s">
        <v>873</v>
      </c>
    </row>
    <row r="489" spans="20:20" x14ac:dyDescent="0.2">
      <c r="T489" t="s">
        <v>874</v>
      </c>
    </row>
    <row r="490" spans="20:20" x14ac:dyDescent="0.2">
      <c r="T490" t="s">
        <v>875</v>
      </c>
    </row>
    <row r="491" spans="20:20" x14ac:dyDescent="0.2">
      <c r="T491" t="s">
        <v>876</v>
      </c>
    </row>
    <row r="492" spans="20:20" x14ac:dyDescent="0.2">
      <c r="T492" t="s">
        <v>877</v>
      </c>
    </row>
    <row r="493" spans="20:20" x14ac:dyDescent="0.2">
      <c r="T493" t="s">
        <v>878</v>
      </c>
    </row>
    <row r="494" spans="20:20" x14ac:dyDescent="0.2">
      <c r="T494" t="s">
        <v>879</v>
      </c>
    </row>
    <row r="495" spans="20:20" x14ac:dyDescent="0.2">
      <c r="T495" t="s">
        <v>880</v>
      </c>
    </row>
    <row r="496" spans="20:20" x14ac:dyDescent="0.2">
      <c r="T496" t="s">
        <v>881</v>
      </c>
    </row>
    <row r="497" spans="20:20" x14ac:dyDescent="0.2">
      <c r="T497" t="s">
        <v>882</v>
      </c>
    </row>
    <row r="498" spans="20:20" x14ac:dyDescent="0.2">
      <c r="T498" t="s">
        <v>883</v>
      </c>
    </row>
    <row r="499" spans="20:20" x14ac:dyDescent="0.2">
      <c r="T499" t="s">
        <v>884</v>
      </c>
    </row>
    <row r="500" spans="20:20" x14ac:dyDescent="0.2">
      <c r="T500" t="s">
        <v>885</v>
      </c>
    </row>
    <row r="501" spans="20:20" x14ac:dyDescent="0.2">
      <c r="T501" t="s">
        <v>886</v>
      </c>
    </row>
    <row r="502" spans="20:20" x14ac:dyDescent="0.2">
      <c r="T502" t="s">
        <v>476</v>
      </c>
    </row>
    <row r="503" spans="20:20" x14ac:dyDescent="0.2">
      <c r="T503" t="s">
        <v>887</v>
      </c>
    </row>
    <row r="504" spans="20:20" x14ac:dyDescent="0.2">
      <c r="T504" t="s">
        <v>888</v>
      </c>
    </row>
    <row r="505" spans="20:20" x14ac:dyDescent="0.2">
      <c r="T505" t="s">
        <v>889</v>
      </c>
    </row>
    <row r="506" spans="20:20" x14ac:dyDescent="0.2">
      <c r="T506" t="s">
        <v>890</v>
      </c>
    </row>
    <row r="507" spans="20:20" x14ac:dyDescent="0.2">
      <c r="T507" t="s">
        <v>891</v>
      </c>
    </row>
    <row r="508" spans="20:20" x14ac:dyDescent="0.2">
      <c r="T508" t="s">
        <v>892</v>
      </c>
    </row>
    <row r="509" spans="20:20" x14ac:dyDescent="0.2">
      <c r="T509" t="s">
        <v>893</v>
      </c>
    </row>
    <row r="510" spans="20:20" x14ac:dyDescent="0.2">
      <c r="T510" t="s">
        <v>894</v>
      </c>
    </row>
    <row r="511" spans="20:20" x14ac:dyDescent="0.2">
      <c r="T511" t="s">
        <v>895</v>
      </c>
    </row>
    <row r="512" spans="20:20" x14ac:dyDescent="0.2">
      <c r="T512" t="s">
        <v>896</v>
      </c>
    </row>
    <row r="513" spans="20:20" x14ac:dyDescent="0.2">
      <c r="T513" t="s">
        <v>897</v>
      </c>
    </row>
    <row r="514" spans="20:20" x14ac:dyDescent="0.2">
      <c r="T514" t="s">
        <v>898</v>
      </c>
    </row>
    <row r="515" spans="20:20" x14ac:dyDescent="0.2">
      <c r="T515" t="s">
        <v>899</v>
      </c>
    </row>
    <row r="516" spans="20:20" x14ac:dyDescent="0.2">
      <c r="T516" t="s">
        <v>900</v>
      </c>
    </row>
    <row r="517" spans="20:20" x14ac:dyDescent="0.2">
      <c r="T517" t="s">
        <v>901</v>
      </c>
    </row>
    <row r="518" spans="20:20" x14ac:dyDescent="0.2">
      <c r="T518" t="s">
        <v>902</v>
      </c>
    </row>
    <row r="519" spans="20:20" x14ac:dyDescent="0.2">
      <c r="T519" t="s">
        <v>903</v>
      </c>
    </row>
    <row r="520" spans="20:20" x14ac:dyDescent="0.2">
      <c r="T520" t="s">
        <v>904</v>
      </c>
    </row>
    <row r="521" spans="20:20" x14ac:dyDescent="0.2">
      <c r="T521" t="s">
        <v>905</v>
      </c>
    </row>
    <row r="522" spans="20:20" x14ac:dyDescent="0.2">
      <c r="T522" t="s">
        <v>906</v>
      </c>
    </row>
    <row r="523" spans="20:20" x14ac:dyDescent="0.2">
      <c r="T523" t="s">
        <v>907</v>
      </c>
    </row>
    <row r="524" spans="20:20" x14ac:dyDescent="0.2">
      <c r="T524" t="s">
        <v>908</v>
      </c>
    </row>
    <row r="525" spans="20:20" x14ac:dyDescent="0.2">
      <c r="T525" t="s">
        <v>909</v>
      </c>
    </row>
    <row r="526" spans="20:20" x14ac:dyDescent="0.2">
      <c r="T526" t="s">
        <v>910</v>
      </c>
    </row>
    <row r="527" spans="20:20" x14ac:dyDescent="0.2">
      <c r="T527" t="s">
        <v>911</v>
      </c>
    </row>
    <row r="528" spans="20:20" x14ac:dyDescent="0.2">
      <c r="T528" t="s">
        <v>912</v>
      </c>
    </row>
    <row r="529" spans="20:20" x14ac:dyDescent="0.2">
      <c r="T529" t="s">
        <v>913</v>
      </c>
    </row>
    <row r="530" spans="20:20" x14ac:dyDescent="0.2">
      <c r="T530" t="s">
        <v>914</v>
      </c>
    </row>
    <row r="531" spans="20:20" x14ac:dyDescent="0.2">
      <c r="T531" t="s">
        <v>915</v>
      </c>
    </row>
    <row r="532" spans="20:20" x14ac:dyDescent="0.2">
      <c r="T532" t="s">
        <v>476</v>
      </c>
    </row>
    <row r="533" spans="20:20" x14ac:dyDescent="0.2">
      <c r="T533" t="s">
        <v>916</v>
      </c>
    </row>
    <row r="534" spans="20:20" x14ac:dyDescent="0.2">
      <c r="T534" t="s">
        <v>917</v>
      </c>
    </row>
    <row r="535" spans="20:20" x14ac:dyDescent="0.2">
      <c r="T535" t="s">
        <v>918</v>
      </c>
    </row>
    <row r="536" spans="20:20" x14ac:dyDescent="0.2">
      <c r="T536" t="s">
        <v>919</v>
      </c>
    </row>
    <row r="537" spans="20:20" x14ac:dyDescent="0.2">
      <c r="T537" t="s">
        <v>920</v>
      </c>
    </row>
    <row r="538" spans="20:20" x14ac:dyDescent="0.2">
      <c r="T538" t="s">
        <v>921</v>
      </c>
    </row>
    <row r="539" spans="20:20" x14ac:dyDescent="0.2">
      <c r="T539" t="s">
        <v>922</v>
      </c>
    </row>
    <row r="540" spans="20:20" x14ac:dyDescent="0.2">
      <c r="T540" t="s">
        <v>923</v>
      </c>
    </row>
    <row r="541" spans="20:20" x14ac:dyDescent="0.2">
      <c r="T541" t="s">
        <v>924</v>
      </c>
    </row>
    <row r="542" spans="20:20" x14ac:dyDescent="0.2">
      <c r="T542" t="s">
        <v>925</v>
      </c>
    </row>
    <row r="543" spans="20:20" x14ac:dyDescent="0.2">
      <c r="T543" t="s">
        <v>926</v>
      </c>
    </row>
    <row r="544" spans="20:20" x14ac:dyDescent="0.2">
      <c r="T544" t="s">
        <v>927</v>
      </c>
    </row>
    <row r="545" spans="20:20" x14ac:dyDescent="0.2">
      <c r="T545" t="s">
        <v>928</v>
      </c>
    </row>
    <row r="546" spans="20:20" x14ac:dyDescent="0.2">
      <c r="T546" t="s">
        <v>929</v>
      </c>
    </row>
    <row r="547" spans="20:20" x14ac:dyDescent="0.2">
      <c r="T547" t="s">
        <v>930</v>
      </c>
    </row>
    <row r="548" spans="20:20" x14ac:dyDescent="0.2">
      <c r="T548" t="s">
        <v>931</v>
      </c>
    </row>
    <row r="549" spans="20:20" x14ac:dyDescent="0.2">
      <c r="T549" t="s">
        <v>932</v>
      </c>
    </row>
    <row r="550" spans="20:20" x14ac:dyDescent="0.2">
      <c r="T550" t="s">
        <v>933</v>
      </c>
    </row>
    <row r="551" spans="20:20" x14ac:dyDescent="0.2">
      <c r="T551" t="s">
        <v>934</v>
      </c>
    </row>
    <row r="552" spans="20:20" x14ac:dyDescent="0.2">
      <c r="T552" t="s">
        <v>935</v>
      </c>
    </row>
    <row r="553" spans="20:20" x14ac:dyDescent="0.2">
      <c r="T553" t="s">
        <v>936</v>
      </c>
    </row>
    <row r="554" spans="20:20" x14ac:dyDescent="0.2">
      <c r="T554" t="s">
        <v>927</v>
      </c>
    </row>
    <row r="555" spans="20:20" x14ac:dyDescent="0.2">
      <c r="T555" t="s">
        <v>937</v>
      </c>
    </row>
    <row r="556" spans="20:20" x14ac:dyDescent="0.2">
      <c r="T556" t="s">
        <v>938</v>
      </c>
    </row>
    <row r="557" spans="20:20" x14ac:dyDescent="0.2">
      <c r="T557" t="s">
        <v>939</v>
      </c>
    </row>
    <row r="558" spans="20:20" x14ac:dyDescent="0.2">
      <c r="T558" t="s">
        <v>940</v>
      </c>
    </row>
    <row r="559" spans="20:20" x14ac:dyDescent="0.2">
      <c r="T559" t="s">
        <v>941</v>
      </c>
    </row>
    <row r="560" spans="20:20" x14ac:dyDescent="0.2">
      <c r="T560" t="s">
        <v>942</v>
      </c>
    </row>
    <row r="561" spans="20:20" x14ac:dyDescent="0.2">
      <c r="T561" t="s">
        <v>943</v>
      </c>
    </row>
    <row r="562" spans="20:20" x14ac:dyDescent="0.2">
      <c r="T562" t="s">
        <v>496</v>
      </c>
    </row>
    <row r="563" spans="20:20" x14ac:dyDescent="0.2">
      <c r="T563" t="s">
        <v>944</v>
      </c>
    </row>
    <row r="564" spans="20:20" x14ac:dyDescent="0.2">
      <c r="T564" t="s">
        <v>945</v>
      </c>
    </row>
    <row r="565" spans="20:20" x14ac:dyDescent="0.2">
      <c r="T565" t="s">
        <v>927</v>
      </c>
    </row>
    <row r="566" spans="20:20" x14ac:dyDescent="0.2">
      <c r="T566" t="s">
        <v>946</v>
      </c>
    </row>
    <row r="567" spans="20:20" x14ac:dyDescent="0.2">
      <c r="T567" t="s">
        <v>947</v>
      </c>
    </row>
    <row r="568" spans="20:20" x14ac:dyDescent="0.2">
      <c r="T568" t="s">
        <v>948</v>
      </c>
    </row>
    <row r="569" spans="20:20" x14ac:dyDescent="0.2">
      <c r="T569" t="s">
        <v>949</v>
      </c>
    </row>
    <row r="570" spans="20:20" x14ac:dyDescent="0.2">
      <c r="T570" t="s">
        <v>950</v>
      </c>
    </row>
    <row r="571" spans="20:20" x14ac:dyDescent="0.2">
      <c r="T571" t="s">
        <v>951</v>
      </c>
    </row>
    <row r="572" spans="20:20" x14ac:dyDescent="0.2">
      <c r="T572" t="s">
        <v>952</v>
      </c>
    </row>
    <row r="573" spans="20:20" x14ac:dyDescent="0.2">
      <c r="T573" t="s">
        <v>953</v>
      </c>
    </row>
    <row r="574" spans="20:20" x14ac:dyDescent="0.2">
      <c r="T574" t="s">
        <v>954</v>
      </c>
    </row>
    <row r="575" spans="20:20" x14ac:dyDescent="0.2">
      <c r="T575" t="s">
        <v>955</v>
      </c>
    </row>
    <row r="576" spans="20:20" x14ac:dyDescent="0.2">
      <c r="T576" t="s">
        <v>956</v>
      </c>
    </row>
    <row r="577" spans="20:20" x14ac:dyDescent="0.2">
      <c r="T577" t="s">
        <v>957</v>
      </c>
    </row>
    <row r="578" spans="20:20" x14ac:dyDescent="0.2">
      <c r="T578" t="s">
        <v>958</v>
      </c>
    </row>
    <row r="579" spans="20:20" x14ac:dyDescent="0.2">
      <c r="T579" t="s">
        <v>959</v>
      </c>
    </row>
    <row r="580" spans="20:20" x14ac:dyDescent="0.2">
      <c r="T580" t="s">
        <v>960</v>
      </c>
    </row>
    <row r="581" spans="20:20" x14ac:dyDescent="0.2">
      <c r="T581" t="s">
        <v>961</v>
      </c>
    </row>
    <row r="582" spans="20:20" x14ac:dyDescent="0.2">
      <c r="T582" t="s">
        <v>962</v>
      </c>
    </row>
    <row r="583" spans="20:20" x14ac:dyDescent="0.2">
      <c r="T583" t="s">
        <v>963</v>
      </c>
    </row>
    <row r="584" spans="20:20" x14ac:dyDescent="0.2">
      <c r="T584" t="s">
        <v>964</v>
      </c>
    </row>
    <row r="585" spans="20:20" x14ac:dyDescent="0.2">
      <c r="T585" t="s">
        <v>965</v>
      </c>
    </row>
    <row r="586" spans="20:20" x14ac:dyDescent="0.2">
      <c r="T586" t="s">
        <v>966</v>
      </c>
    </row>
    <row r="587" spans="20:20" x14ac:dyDescent="0.2">
      <c r="T587" t="s">
        <v>967</v>
      </c>
    </row>
    <row r="588" spans="20:20" x14ac:dyDescent="0.2">
      <c r="T588" t="s">
        <v>968</v>
      </c>
    </row>
    <row r="589" spans="20:20" x14ac:dyDescent="0.2">
      <c r="T589" t="s">
        <v>969</v>
      </c>
    </row>
    <row r="590" spans="20:20" x14ac:dyDescent="0.2">
      <c r="T590" t="s">
        <v>970</v>
      </c>
    </row>
    <row r="591" spans="20:20" x14ac:dyDescent="0.2">
      <c r="T591" t="s">
        <v>971</v>
      </c>
    </row>
    <row r="592" spans="20:20" x14ac:dyDescent="0.2">
      <c r="T592" t="s">
        <v>972</v>
      </c>
    </row>
    <row r="593" spans="20:20" x14ac:dyDescent="0.2">
      <c r="T593" t="s">
        <v>973</v>
      </c>
    </row>
    <row r="594" spans="20:20" x14ac:dyDescent="0.2">
      <c r="T594" t="s">
        <v>974</v>
      </c>
    </row>
    <row r="595" spans="20:20" x14ac:dyDescent="0.2">
      <c r="T595" t="s">
        <v>975</v>
      </c>
    </row>
    <row r="596" spans="20:20" x14ac:dyDescent="0.2">
      <c r="T596" t="s">
        <v>976</v>
      </c>
    </row>
    <row r="597" spans="20:20" x14ac:dyDescent="0.2">
      <c r="T597" t="s">
        <v>977</v>
      </c>
    </row>
    <row r="598" spans="20:20" x14ac:dyDescent="0.2">
      <c r="T598" t="s">
        <v>978</v>
      </c>
    </row>
    <row r="599" spans="20:20" x14ac:dyDescent="0.2">
      <c r="T599" t="s">
        <v>979</v>
      </c>
    </row>
    <row r="600" spans="20:20" x14ac:dyDescent="0.2">
      <c r="T600" t="s">
        <v>980</v>
      </c>
    </row>
    <row r="601" spans="20:20" x14ac:dyDescent="0.2">
      <c r="T601" t="s">
        <v>981</v>
      </c>
    </row>
    <row r="602" spans="20:20" x14ac:dyDescent="0.2">
      <c r="T602" t="s">
        <v>982</v>
      </c>
    </row>
    <row r="603" spans="20:20" x14ac:dyDescent="0.2">
      <c r="T603" t="s">
        <v>983</v>
      </c>
    </row>
    <row r="604" spans="20:20" x14ac:dyDescent="0.2">
      <c r="T604" t="s">
        <v>984</v>
      </c>
    </row>
    <row r="605" spans="20:20" x14ac:dyDescent="0.2">
      <c r="T605" t="s">
        <v>985</v>
      </c>
    </row>
    <row r="606" spans="20:20" x14ac:dyDescent="0.2">
      <c r="T606" t="s">
        <v>986</v>
      </c>
    </row>
    <row r="607" spans="20:20" x14ac:dyDescent="0.2">
      <c r="T607" t="s">
        <v>987</v>
      </c>
    </row>
    <row r="608" spans="20:20" x14ac:dyDescent="0.2">
      <c r="T608" t="s">
        <v>988</v>
      </c>
    </row>
    <row r="609" spans="20:20" x14ac:dyDescent="0.2">
      <c r="T609" t="s">
        <v>989</v>
      </c>
    </row>
    <row r="610" spans="20:20" x14ac:dyDescent="0.2">
      <c r="T610" t="s">
        <v>990</v>
      </c>
    </row>
    <row r="611" spans="20:20" x14ac:dyDescent="0.2">
      <c r="T611" t="s">
        <v>991</v>
      </c>
    </row>
    <row r="612" spans="20:20" x14ac:dyDescent="0.2">
      <c r="T612" t="s">
        <v>992</v>
      </c>
    </row>
    <row r="613" spans="20:20" x14ac:dyDescent="0.2">
      <c r="T613" t="s">
        <v>993</v>
      </c>
    </row>
    <row r="614" spans="20:20" x14ac:dyDescent="0.2">
      <c r="T614" t="s">
        <v>994</v>
      </c>
    </row>
    <row r="615" spans="20:20" x14ac:dyDescent="0.2">
      <c r="T615" t="s">
        <v>995</v>
      </c>
    </row>
    <row r="616" spans="20:20" x14ac:dyDescent="0.2">
      <c r="T616" t="s">
        <v>996</v>
      </c>
    </row>
    <row r="617" spans="20:20" x14ac:dyDescent="0.2">
      <c r="T617" t="s">
        <v>997</v>
      </c>
    </row>
    <row r="618" spans="20:20" x14ac:dyDescent="0.2">
      <c r="T618" t="s">
        <v>998</v>
      </c>
    </row>
    <row r="619" spans="20:20" x14ac:dyDescent="0.2">
      <c r="T619" t="s">
        <v>999</v>
      </c>
    </row>
    <row r="620" spans="20:20" x14ac:dyDescent="0.2">
      <c r="T620" t="s">
        <v>1000</v>
      </c>
    </row>
    <row r="621" spans="20:20" x14ac:dyDescent="0.2">
      <c r="T621" t="s">
        <v>1001</v>
      </c>
    </row>
    <row r="622" spans="20:20" x14ac:dyDescent="0.2">
      <c r="T622" t="s">
        <v>1002</v>
      </c>
    </row>
    <row r="623" spans="20:20" x14ac:dyDescent="0.2">
      <c r="T623" t="s">
        <v>1003</v>
      </c>
    </row>
    <row r="624" spans="20:20" x14ac:dyDescent="0.2">
      <c r="T624" t="s">
        <v>1004</v>
      </c>
    </row>
    <row r="625" spans="20:20" x14ac:dyDescent="0.2">
      <c r="T625" t="s">
        <v>1005</v>
      </c>
    </row>
    <row r="626" spans="20:20" x14ac:dyDescent="0.2">
      <c r="T626" t="s">
        <v>1006</v>
      </c>
    </row>
    <row r="627" spans="20:20" x14ac:dyDescent="0.2">
      <c r="T627" t="s">
        <v>1007</v>
      </c>
    </row>
    <row r="628" spans="20:20" x14ac:dyDescent="0.2">
      <c r="T628" t="s">
        <v>1008</v>
      </c>
    </row>
    <row r="629" spans="20:20" x14ac:dyDescent="0.2">
      <c r="T629" t="s">
        <v>1009</v>
      </c>
    </row>
    <row r="630" spans="20:20" x14ac:dyDescent="0.2">
      <c r="T630" t="s">
        <v>1010</v>
      </c>
    </row>
    <row r="631" spans="20:20" x14ac:dyDescent="0.2">
      <c r="T631" t="s">
        <v>1011</v>
      </c>
    </row>
    <row r="632" spans="20:20" x14ac:dyDescent="0.2">
      <c r="T632" t="s">
        <v>1012</v>
      </c>
    </row>
    <row r="633" spans="20:20" x14ac:dyDescent="0.2">
      <c r="T633" t="s">
        <v>1013</v>
      </c>
    </row>
    <row r="634" spans="20:20" x14ac:dyDescent="0.2">
      <c r="T634" t="s">
        <v>1014</v>
      </c>
    </row>
    <row r="635" spans="20:20" x14ac:dyDescent="0.2">
      <c r="T635" t="s">
        <v>1015</v>
      </c>
    </row>
    <row r="636" spans="20:20" x14ac:dyDescent="0.2">
      <c r="T636" t="s">
        <v>1016</v>
      </c>
    </row>
    <row r="637" spans="20:20" x14ac:dyDescent="0.2">
      <c r="T637" t="s">
        <v>1017</v>
      </c>
    </row>
    <row r="638" spans="20:20" x14ac:dyDescent="0.2">
      <c r="T638" t="s">
        <v>1018</v>
      </c>
    </row>
    <row r="639" spans="20:20" x14ac:dyDescent="0.2">
      <c r="T639" t="s">
        <v>1019</v>
      </c>
    </row>
    <row r="640" spans="20:20" x14ac:dyDescent="0.2">
      <c r="T640" t="s">
        <v>472</v>
      </c>
    </row>
    <row r="641" spans="20:20" x14ac:dyDescent="0.2">
      <c r="T641" t="s">
        <v>496</v>
      </c>
    </row>
    <row r="642" spans="20:20" x14ac:dyDescent="0.2">
      <c r="T642" t="s">
        <v>1020</v>
      </c>
    </row>
    <row r="643" spans="20:20" x14ac:dyDescent="0.2">
      <c r="T643" t="s">
        <v>1010</v>
      </c>
    </row>
    <row r="644" spans="20:20" x14ac:dyDescent="0.2">
      <c r="T644" t="s">
        <v>1021</v>
      </c>
    </row>
    <row r="645" spans="20:20" x14ac:dyDescent="0.2">
      <c r="T645" t="s">
        <v>1022</v>
      </c>
    </row>
    <row r="646" spans="20:20" x14ac:dyDescent="0.2">
      <c r="T646" t="s">
        <v>1023</v>
      </c>
    </row>
    <row r="647" spans="20:20" x14ac:dyDescent="0.2">
      <c r="T647" t="s">
        <v>1024</v>
      </c>
    </row>
    <row r="648" spans="20:20" x14ac:dyDescent="0.2">
      <c r="T648" t="s">
        <v>1025</v>
      </c>
    </row>
    <row r="649" spans="20:20" x14ac:dyDescent="0.2">
      <c r="T649" t="s">
        <v>1026</v>
      </c>
    </row>
    <row r="650" spans="20:20" x14ac:dyDescent="0.2">
      <c r="T650" t="s">
        <v>1027</v>
      </c>
    </row>
    <row r="651" spans="20:20" x14ac:dyDescent="0.2">
      <c r="T651" t="s">
        <v>1028</v>
      </c>
    </row>
    <row r="652" spans="20:20" x14ac:dyDescent="0.2">
      <c r="T652" t="s">
        <v>1029</v>
      </c>
    </row>
    <row r="653" spans="20:20" x14ac:dyDescent="0.2">
      <c r="T653" t="s">
        <v>1030</v>
      </c>
    </row>
    <row r="654" spans="20:20" x14ac:dyDescent="0.2">
      <c r="T654" t="s">
        <v>1031</v>
      </c>
    </row>
    <row r="655" spans="20:20" x14ac:dyDescent="0.2">
      <c r="T655" t="s">
        <v>1032</v>
      </c>
    </row>
    <row r="656" spans="20:20" x14ac:dyDescent="0.2">
      <c r="T656" t="s">
        <v>1033</v>
      </c>
    </row>
    <row r="657" spans="20:20" x14ac:dyDescent="0.2">
      <c r="T657" t="s">
        <v>1034</v>
      </c>
    </row>
    <row r="658" spans="20:20" x14ac:dyDescent="0.2">
      <c r="T658" t="s">
        <v>1035</v>
      </c>
    </row>
    <row r="659" spans="20:20" x14ac:dyDescent="0.2">
      <c r="T659" t="s">
        <v>1036</v>
      </c>
    </row>
    <row r="660" spans="20:20" x14ac:dyDescent="0.2">
      <c r="T660" t="s">
        <v>1037</v>
      </c>
    </row>
    <row r="661" spans="20:20" x14ac:dyDescent="0.2">
      <c r="T661" t="s">
        <v>1038</v>
      </c>
    </row>
    <row r="662" spans="20:20" x14ac:dyDescent="0.2">
      <c r="T662" t="s">
        <v>1039</v>
      </c>
    </row>
    <row r="663" spans="20:20" x14ac:dyDescent="0.2">
      <c r="T663" t="s">
        <v>1040</v>
      </c>
    </row>
    <row r="664" spans="20:20" x14ac:dyDescent="0.2">
      <c r="T664" t="s">
        <v>1041</v>
      </c>
    </row>
    <row r="665" spans="20:20" x14ac:dyDescent="0.2">
      <c r="T665" t="s">
        <v>1042</v>
      </c>
    </row>
    <row r="666" spans="20:20" x14ac:dyDescent="0.2">
      <c r="T666" t="s">
        <v>1043</v>
      </c>
    </row>
    <row r="667" spans="20:20" x14ac:dyDescent="0.2">
      <c r="T667" t="s">
        <v>1044</v>
      </c>
    </row>
    <row r="668" spans="20:20" x14ac:dyDescent="0.2">
      <c r="T668" t="s">
        <v>1045</v>
      </c>
    </row>
    <row r="669" spans="20:20" x14ac:dyDescent="0.2">
      <c r="T669" t="s">
        <v>1046</v>
      </c>
    </row>
    <row r="670" spans="20:20" x14ac:dyDescent="0.2">
      <c r="T670" t="s">
        <v>1047</v>
      </c>
    </row>
    <row r="671" spans="20:20" x14ac:dyDescent="0.2">
      <c r="T671" t="s">
        <v>1048</v>
      </c>
    </row>
    <row r="672" spans="20:20" x14ac:dyDescent="0.2">
      <c r="T672" t="s">
        <v>1049</v>
      </c>
    </row>
    <row r="673" spans="20:20" x14ac:dyDescent="0.2">
      <c r="T673" t="s">
        <v>1050</v>
      </c>
    </row>
    <row r="674" spans="20:20" x14ac:dyDescent="0.2">
      <c r="T674" t="s">
        <v>1051</v>
      </c>
    </row>
    <row r="675" spans="20:20" x14ac:dyDescent="0.2">
      <c r="T675" t="s">
        <v>1052</v>
      </c>
    </row>
    <row r="676" spans="20:20" x14ac:dyDescent="0.2">
      <c r="T676" t="s">
        <v>1011</v>
      </c>
    </row>
    <row r="677" spans="20:20" x14ac:dyDescent="0.2">
      <c r="T677" t="s">
        <v>1053</v>
      </c>
    </row>
    <row r="678" spans="20:20" x14ac:dyDescent="0.2">
      <c r="T678" t="s">
        <v>1054</v>
      </c>
    </row>
    <row r="679" spans="20:20" x14ac:dyDescent="0.2">
      <c r="T679" t="s">
        <v>1055</v>
      </c>
    </row>
    <row r="680" spans="20:20" x14ac:dyDescent="0.2">
      <c r="T680" t="s">
        <v>1056</v>
      </c>
    </row>
    <row r="681" spans="20:20" x14ac:dyDescent="0.2">
      <c r="T681" t="s">
        <v>1057</v>
      </c>
    </row>
    <row r="682" spans="20:20" x14ac:dyDescent="0.2">
      <c r="T682" t="s">
        <v>1058</v>
      </c>
    </row>
    <row r="683" spans="20:20" x14ac:dyDescent="0.2">
      <c r="T683" t="s">
        <v>1059</v>
      </c>
    </row>
    <row r="684" spans="20:20" x14ac:dyDescent="0.2">
      <c r="T684" t="s">
        <v>1060</v>
      </c>
    </row>
    <row r="685" spans="20:20" x14ac:dyDescent="0.2">
      <c r="T685" t="s">
        <v>1011</v>
      </c>
    </row>
    <row r="686" spans="20:20" x14ac:dyDescent="0.2">
      <c r="T686" t="s">
        <v>1010</v>
      </c>
    </row>
    <row r="687" spans="20:20" x14ac:dyDescent="0.2">
      <c r="T687" t="s">
        <v>1021</v>
      </c>
    </row>
    <row r="688" spans="20:20" x14ac:dyDescent="0.2">
      <c r="T688" t="s">
        <v>1061</v>
      </c>
    </row>
    <row r="689" spans="20:20" x14ac:dyDescent="0.2">
      <c r="T689" t="s">
        <v>1062</v>
      </c>
    </row>
    <row r="690" spans="20:20" x14ac:dyDescent="0.2">
      <c r="T690" t="s">
        <v>1063</v>
      </c>
    </row>
    <row r="691" spans="20:20" x14ac:dyDescent="0.2">
      <c r="T691" t="s">
        <v>1064</v>
      </c>
    </row>
    <row r="692" spans="20:20" x14ac:dyDescent="0.2">
      <c r="T692" t="s">
        <v>1065</v>
      </c>
    </row>
    <row r="693" spans="20:20" x14ac:dyDescent="0.2">
      <c r="T693" t="s">
        <v>1066</v>
      </c>
    </row>
    <row r="694" spans="20:20" x14ac:dyDescent="0.2">
      <c r="T694" t="s">
        <v>1067</v>
      </c>
    </row>
    <row r="695" spans="20:20" x14ac:dyDescent="0.2">
      <c r="T695" t="s">
        <v>1068</v>
      </c>
    </row>
    <row r="696" spans="20:20" x14ac:dyDescent="0.2">
      <c r="T696" t="s">
        <v>1069</v>
      </c>
    </row>
    <row r="697" spans="20:20" x14ac:dyDescent="0.2">
      <c r="T697" t="s">
        <v>1018</v>
      </c>
    </row>
    <row r="698" spans="20:20" x14ac:dyDescent="0.2">
      <c r="T698" t="s">
        <v>1019</v>
      </c>
    </row>
    <row r="699" spans="20:20" x14ac:dyDescent="0.2">
      <c r="T699" t="s">
        <v>1021</v>
      </c>
    </row>
    <row r="700" spans="20:20" x14ac:dyDescent="0.2">
      <c r="T700" t="s">
        <v>1022</v>
      </c>
    </row>
    <row r="701" spans="20:20" x14ac:dyDescent="0.2">
      <c r="T701" t="s">
        <v>1070</v>
      </c>
    </row>
    <row r="702" spans="20:20" x14ac:dyDescent="0.2">
      <c r="T702" t="s">
        <v>1071</v>
      </c>
    </row>
    <row r="703" spans="20:20" x14ac:dyDescent="0.2">
      <c r="T703" t="s">
        <v>1072</v>
      </c>
    </row>
    <row r="704" spans="20:20" x14ac:dyDescent="0.2">
      <c r="T704" t="s">
        <v>1073</v>
      </c>
    </row>
    <row r="705" spans="20:20" x14ac:dyDescent="0.2">
      <c r="T705" t="s">
        <v>1074</v>
      </c>
    </row>
    <row r="706" spans="20:20" x14ac:dyDescent="0.2">
      <c r="T706" t="s">
        <v>1075</v>
      </c>
    </row>
    <row r="707" spans="20:20" x14ac:dyDescent="0.2">
      <c r="T707" t="s">
        <v>1076</v>
      </c>
    </row>
    <row r="708" spans="20:20" x14ac:dyDescent="0.2">
      <c r="T708" t="s">
        <v>1077</v>
      </c>
    </row>
    <row r="709" spans="20:20" x14ac:dyDescent="0.2">
      <c r="T709" t="s">
        <v>1078</v>
      </c>
    </row>
    <row r="710" spans="20:20" x14ac:dyDescent="0.2">
      <c r="T710" t="s">
        <v>1079</v>
      </c>
    </row>
    <row r="711" spans="20:20" x14ac:dyDescent="0.2">
      <c r="T711" t="s">
        <v>1080</v>
      </c>
    </row>
    <row r="712" spans="20:20" x14ac:dyDescent="0.2">
      <c r="T712" t="s">
        <v>1081</v>
      </c>
    </row>
    <row r="713" spans="20:20" x14ac:dyDescent="0.2">
      <c r="T713" t="s">
        <v>1082</v>
      </c>
    </row>
    <row r="714" spans="20:20" x14ac:dyDescent="0.2">
      <c r="T714" t="s">
        <v>1083</v>
      </c>
    </row>
    <row r="715" spans="20:20" x14ac:dyDescent="0.2">
      <c r="T715" t="s">
        <v>1084</v>
      </c>
    </row>
    <row r="716" spans="20:20" x14ac:dyDescent="0.2">
      <c r="T716" t="s">
        <v>1085</v>
      </c>
    </row>
    <row r="717" spans="20:20" x14ac:dyDescent="0.2">
      <c r="T717" t="s">
        <v>1086</v>
      </c>
    </row>
    <row r="718" spans="20:20" x14ac:dyDescent="0.2">
      <c r="T718" t="s">
        <v>1087</v>
      </c>
    </row>
    <row r="719" spans="20:20" x14ac:dyDescent="0.2">
      <c r="T719" t="s">
        <v>1088</v>
      </c>
    </row>
    <row r="720" spans="20:20" x14ac:dyDescent="0.2">
      <c r="T720" t="s">
        <v>1089</v>
      </c>
    </row>
    <row r="721" spans="20:20" x14ac:dyDescent="0.2">
      <c r="T721" t="s">
        <v>1090</v>
      </c>
    </row>
    <row r="722" spans="20:20" x14ac:dyDescent="0.2">
      <c r="T722" t="s">
        <v>1091</v>
      </c>
    </row>
    <row r="723" spans="20:20" x14ac:dyDescent="0.2">
      <c r="T723" t="s">
        <v>1092</v>
      </c>
    </row>
    <row r="724" spans="20:20" x14ac:dyDescent="0.2">
      <c r="T724" t="s">
        <v>1093</v>
      </c>
    </row>
    <row r="725" spans="20:20" x14ac:dyDescent="0.2">
      <c r="T725" t="s">
        <v>1094</v>
      </c>
    </row>
    <row r="726" spans="20:20" x14ac:dyDescent="0.2">
      <c r="T726" t="s">
        <v>1095</v>
      </c>
    </row>
    <row r="727" spans="20:20" x14ac:dyDescent="0.2">
      <c r="T727" t="s">
        <v>1096</v>
      </c>
    </row>
    <row r="728" spans="20:20" x14ac:dyDescent="0.2">
      <c r="T728" t="s">
        <v>1097</v>
      </c>
    </row>
    <row r="729" spans="20:20" x14ac:dyDescent="0.2">
      <c r="T729" t="s">
        <v>1098</v>
      </c>
    </row>
    <row r="730" spans="20:20" x14ac:dyDescent="0.2">
      <c r="T730" t="s">
        <v>1099</v>
      </c>
    </row>
    <row r="731" spans="20:20" x14ac:dyDescent="0.2">
      <c r="T731" t="s">
        <v>1100</v>
      </c>
    </row>
    <row r="732" spans="20:20" x14ac:dyDescent="0.2">
      <c r="T732" t="s">
        <v>1101</v>
      </c>
    </row>
    <row r="733" spans="20:20" x14ac:dyDescent="0.2">
      <c r="T733" t="s">
        <v>1102</v>
      </c>
    </row>
    <row r="734" spans="20:20" x14ac:dyDescent="0.2">
      <c r="T734" t="s">
        <v>1103</v>
      </c>
    </row>
    <row r="735" spans="20:20" x14ac:dyDescent="0.2">
      <c r="T735" t="s">
        <v>1104</v>
      </c>
    </row>
    <row r="736" spans="20:20" x14ac:dyDescent="0.2">
      <c r="T736" t="s">
        <v>1105</v>
      </c>
    </row>
    <row r="737" spans="20:20" x14ac:dyDescent="0.2">
      <c r="T737" t="s">
        <v>1106</v>
      </c>
    </row>
    <row r="738" spans="20:20" x14ac:dyDescent="0.2">
      <c r="T738" t="s">
        <v>1107</v>
      </c>
    </row>
    <row r="739" spans="20:20" x14ac:dyDescent="0.2">
      <c r="T739" t="s">
        <v>1108</v>
      </c>
    </row>
    <row r="740" spans="20:20" x14ac:dyDescent="0.2">
      <c r="T740" t="s">
        <v>1109</v>
      </c>
    </row>
    <row r="741" spans="20:20" x14ac:dyDescent="0.2">
      <c r="T741" t="s">
        <v>1110</v>
      </c>
    </row>
    <row r="742" spans="20:20" x14ac:dyDescent="0.2">
      <c r="T742" t="s">
        <v>1111</v>
      </c>
    </row>
    <row r="743" spans="20:20" x14ac:dyDescent="0.2">
      <c r="T743" t="s">
        <v>1112</v>
      </c>
    </row>
    <row r="744" spans="20:20" x14ac:dyDescent="0.2">
      <c r="T744" t="s">
        <v>1113</v>
      </c>
    </row>
    <row r="745" spans="20:20" x14ac:dyDescent="0.2">
      <c r="T745" t="s">
        <v>1114</v>
      </c>
    </row>
    <row r="746" spans="20:20" x14ac:dyDescent="0.2">
      <c r="T746" t="s">
        <v>1115</v>
      </c>
    </row>
    <row r="747" spans="20:20" x14ac:dyDescent="0.2">
      <c r="T747" t="s">
        <v>1116</v>
      </c>
    </row>
    <row r="748" spans="20:20" x14ac:dyDescent="0.2">
      <c r="T748" t="s">
        <v>1117</v>
      </c>
    </row>
    <row r="749" spans="20:20" x14ac:dyDescent="0.2">
      <c r="T749" t="s">
        <v>1118</v>
      </c>
    </row>
    <row r="750" spans="20:20" x14ac:dyDescent="0.2">
      <c r="T750" t="s">
        <v>1119</v>
      </c>
    </row>
    <row r="751" spans="20:20" x14ac:dyDescent="0.2">
      <c r="T751" t="s">
        <v>1120</v>
      </c>
    </row>
    <row r="752" spans="20:20" x14ac:dyDescent="0.2">
      <c r="T752" t="s">
        <v>1121</v>
      </c>
    </row>
    <row r="753" spans="20:20" x14ac:dyDescent="0.2">
      <c r="T753" t="s">
        <v>1122</v>
      </c>
    </row>
    <row r="754" spans="20:20" x14ac:dyDescent="0.2">
      <c r="T754" t="s">
        <v>1123</v>
      </c>
    </row>
    <row r="755" spans="20:20" x14ac:dyDescent="0.2">
      <c r="T755" t="s">
        <v>1124</v>
      </c>
    </row>
    <row r="756" spans="20:20" x14ac:dyDescent="0.2">
      <c r="T756" t="s">
        <v>1125</v>
      </c>
    </row>
    <row r="757" spans="20:20" x14ac:dyDescent="0.2">
      <c r="T757" t="s">
        <v>1126</v>
      </c>
    </row>
    <row r="758" spans="20:20" x14ac:dyDescent="0.2">
      <c r="T758" t="s">
        <v>1127</v>
      </c>
    </row>
    <row r="759" spans="20:20" x14ac:dyDescent="0.2">
      <c r="T759" t="s">
        <v>1128</v>
      </c>
    </row>
    <row r="760" spans="20:20" x14ac:dyDescent="0.2">
      <c r="T760" t="s">
        <v>1129</v>
      </c>
    </row>
    <row r="761" spans="20:20" x14ac:dyDescent="0.2">
      <c r="T761" t="s">
        <v>1130</v>
      </c>
    </row>
    <row r="762" spans="20:20" x14ac:dyDescent="0.2">
      <c r="T762" t="s">
        <v>1131</v>
      </c>
    </row>
    <row r="763" spans="20:20" x14ac:dyDescent="0.2">
      <c r="T763" t="s">
        <v>1132</v>
      </c>
    </row>
    <row r="764" spans="20:20" x14ac:dyDescent="0.2">
      <c r="T764" t="s">
        <v>1133</v>
      </c>
    </row>
    <row r="765" spans="20:20" x14ac:dyDescent="0.2">
      <c r="T765" t="s">
        <v>1134</v>
      </c>
    </row>
    <row r="766" spans="20:20" x14ac:dyDescent="0.2">
      <c r="T766" t="s">
        <v>1135</v>
      </c>
    </row>
    <row r="767" spans="20:20" x14ac:dyDescent="0.2">
      <c r="T767" t="s">
        <v>1136</v>
      </c>
    </row>
    <row r="768" spans="20:20" x14ac:dyDescent="0.2">
      <c r="T768" t="s">
        <v>1137</v>
      </c>
    </row>
    <row r="769" spans="20:20" x14ac:dyDescent="0.2">
      <c r="T769" t="s">
        <v>1138</v>
      </c>
    </row>
    <row r="770" spans="20:20" x14ac:dyDescent="0.2">
      <c r="T770" t="s">
        <v>1139</v>
      </c>
    </row>
    <row r="771" spans="20:20" x14ac:dyDescent="0.2">
      <c r="T771" t="s">
        <v>1140</v>
      </c>
    </row>
    <row r="772" spans="20:20" x14ac:dyDescent="0.2">
      <c r="T772" t="s">
        <v>1141</v>
      </c>
    </row>
    <row r="773" spans="20:20" x14ac:dyDescent="0.2">
      <c r="T773" t="s">
        <v>1142</v>
      </c>
    </row>
    <row r="774" spans="20:20" x14ac:dyDescent="0.2">
      <c r="T774" t="s">
        <v>1143</v>
      </c>
    </row>
    <row r="775" spans="20:20" x14ac:dyDescent="0.2">
      <c r="T775" t="s">
        <v>1144</v>
      </c>
    </row>
    <row r="776" spans="20:20" x14ac:dyDescent="0.2">
      <c r="T776" t="s">
        <v>1145</v>
      </c>
    </row>
    <row r="777" spans="20:20" x14ac:dyDescent="0.2">
      <c r="T777" t="s">
        <v>1146</v>
      </c>
    </row>
    <row r="778" spans="20:20" x14ac:dyDescent="0.2">
      <c r="T778" t="s">
        <v>1147</v>
      </c>
    </row>
    <row r="779" spans="20:20" x14ac:dyDescent="0.2">
      <c r="T779" t="s">
        <v>1148</v>
      </c>
    </row>
    <row r="780" spans="20:20" x14ac:dyDescent="0.2">
      <c r="T780" t="s">
        <v>1149</v>
      </c>
    </row>
    <row r="781" spans="20:20" x14ac:dyDescent="0.2">
      <c r="T781" t="s">
        <v>1150</v>
      </c>
    </row>
    <row r="782" spans="20:20" x14ac:dyDescent="0.2">
      <c r="T782" t="s">
        <v>1151</v>
      </c>
    </row>
    <row r="783" spans="20:20" x14ac:dyDescent="0.2">
      <c r="T783" t="s">
        <v>1152</v>
      </c>
    </row>
    <row r="784" spans="20:20" x14ac:dyDescent="0.2">
      <c r="T784" t="s">
        <v>1153</v>
      </c>
    </row>
    <row r="785" spans="20:20" x14ac:dyDescent="0.2">
      <c r="T785" t="s">
        <v>1154</v>
      </c>
    </row>
    <row r="786" spans="20:20" x14ac:dyDescent="0.2">
      <c r="T786" t="s">
        <v>1155</v>
      </c>
    </row>
    <row r="787" spans="20:20" x14ac:dyDescent="0.2">
      <c r="T787" t="s">
        <v>1156</v>
      </c>
    </row>
    <row r="788" spans="20:20" x14ac:dyDescent="0.2">
      <c r="T788" t="s">
        <v>1157</v>
      </c>
    </row>
    <row r="789" spans="20:20" x14ac:dyDescent="0.2">
      <c r="T789" t="s">
        <v>1158</v>
      </c>
    </row>
    <row r="790" spans="20:20" x14ac:dyDescent="0.2">
      <c r="T790" t="s">
        <v>1159</v>
      </c>
    </row>
    <row r="791" spans="20:20" x14ac:dyDescent="0.2">
      <c r="T791" t="s">
        <v>1160</v>
      </c>
    </row>
    <row r="792" spans="20:20" x14ac:dyDescent="0.2">
      <c r="T792" t="s">
        <v>1161</v>
      </c>
    </row>
    <row r="793" spans="20:20" x14ac:dyDescent="0.2">
      <c r="T793" t="s">
        <v>1162</v>
      </c>
    </row>
    <row r="794" spans="20:20" x14ac:dyDescent="0.2">
      <c r="T794" t="s">
        <v>1163</v>
      </c>
    </row>
    <row r="795" spans="20:20" x14ac:dyDescent="0.2">
      <c r="T795" t="s">
        <v>1164</v>
      </c>
    </row>
    <row r="796" spans="20:20" x14ac:dyDescent="0.2">
      <c r="T796" t="s">
        <v>1165</v>
      </c>
    </row>
    <row r="797" spans="20:20" x14ac:dyDescent="0.2">
      <c r="T797" t="s">
        <v>1166</v>
      </c>
    </row>
    <row r="798" spans="20:20" x14ac:dyDescent="0.2">
      <c r="T798" t="s">
        <v>1167</v>
      </c>
    </row>
    <row r="799" spans="20:20" x14ac:dyDescent="0.2">
      <c r="T799" t="s">
        <v>1168</v>
      </c>
    </row>
    <row r="800" spans="20:20" x14ac:dyDescent="0.2">
      <c r="T800" t="s">
        <v>1042</v>
      </c>
    </row>
    <row r="801" spans="20:20" x14ac:dyDescent="0.2">
      <c r="T801" t="s">
        <v>1043</v>
      </c>
    </row>
    <row r="802" spans="20:20" x14ac:dyDescent="0.2">
      <c r="T802" t="s">
        <v>1044</v>
      </c>
    </row>
    <row r="803" spans="20:20" x14ac:dyDescent="0.2">
      <c r="T803" t="s">
        <v>1169</v>
      </c>
    </row>
    <row r="804" spans="20:20" x14ac:dyDescent="0.2">
      <c r="T804" t="s">
        <v>1170</v>
      </c>
    </row>
    <row r="805" spans="20:20" x14ac:dyDescent="0.2">
      <c r="T805" t="s">
        <v>1171</v>
      </c>
    </row>
    <row r="806" spans="20:20" x14ac:dyDescent="0.2">
      <c r="T806" t="s">
        <v>1172</v>
      </c>
    </row>
    <row r="807" spans="20:20" x14ac:dyDescent="0.2">
      <c r="T807" t="s">
        <v>1173</v>
      </c>
    </row>
    <row r="808" spans="20:20" x14ac:dyDescent="0.2">
      <c r="T808" t="s">
        <v>1174</v>
      </c>
    </row>
    <row r="809" spans="20:20" x14ac:dyDescent="0.2">
      <c r="T809" t="s">
        <v>1175</v>
      </c>
    </row>
    <row r="810" spans="20:20" x14ac:dyDescent="0.2">
      <c r="T810" t="s">
        <v>1176</v>
      </c>
    </row>
    <row r="811" spans="20:20" x14ac:dyDescent="0.2">
      <c r="T811" t="s">
        <v>1177</v>
      </c>
    </row>
    <row r="812" spans="20:20" x14ac:dyDescent="0.2">
      <c r="T812" t="s">
        <v>1178</v>
      </c>
    </row>
    <row r="813" spans="20:20" x14ac:dyDescent="0.2">
      <c r="T813" t="s">
        <v>1179</v>
      </c>
    </row>
    <row r="814" spans="20:20" x14ac:dyDescent="0.2">
      <c r="T814" t="s">
        <v>1180</v>
      </c>
    </row>
    <row r="815" spans="20:20" x14ac:dyDescent="0.2">
      <c r="T815" t="s">
        <v>1181</v>
      </c>
    </row>
    <row r="816" spans="20:20" x14ac:dyDescent="0.2">
      <c r="T816" t="s">
        <v>1182</v>
      </c>
    </row>
    <row r="817" spans="20:20" x14ac:dyDescent="0.2">
      <c r="T817" t="s">
        <v>1183</v>
      </c>
    </row>
    <row r="818" spans="20:20" x14ac:dyDescent="0.2">
      <c r="T818" t="s">
        <v>1184</v>
      </c>
    </row>
    <row r="819" spans="20:20" x14ac:dyDescent="0.2">
      <c r="T819" t="s">
        <v>1185</v>
      </c>
    </row>
    <row r="820" spans="20:20" x14ac:dyDescent="0.2">
      <c r="T820" t="s">
        <v>1186</v>
      </c>
    </row>
    <row r="821" spans="20:20" x14ac:dyDescent="0.2">
      <c r="T821" t="s">
        <v>1187</v>
      </c>
    </row>
    <row r="822" spans="20:20" x14ac:dyDescent="0.2">
      <c r="T822" t="s">
        <v>1188</v>
      </c>
    </row>
    <row r="823" spans="20:20" x14ac:dyDescent="0.2">
      <c r="T823" t="s">
        <v>1189</v>
      </c>
    </row>
    <row r="824" spans="20:20" x14ac:dyDescent="0.2">
      <c r="T824" t="s">
        <v>1190</v>
      </c>
    </row>
    <row r="825" spans="20:20" x14ac:dyDescent="0.2">
      <c r="T825" t="s">
        <v>1191</v>
      </c>
    </row>
    <row r="826" spans="20:20" x14ac:dyDescent="0.2">
      <c r="T826" t="s">
        <v>1192</v>
      </c>
    </row>
    <row r="827" spans="20:20" x14ac:dyDescent="0.2">
      <c r="T827" t="s">
        <v>1193</v>
      </c>
    </row>
    <row r="828" spans="20:20" x14ac:dyDescent="0.2">
      <c r="T828" t="s">
        <v>1194</v>
      </c>
    </row>
    <row r="829" spans="20:20" x14ac:dyDescent="0.2">
      <c r="T829" t="s">
        <v>1195</v>
      </c>
    </row>
    <row r="830" spans="20:20" x14ac:dyDescent="0.2">
      <c r="T830" t="s">
        <v>1196</v>
      </c>
    </row>
    <row r="831" spans="20:20" x14ac:dyDescent="0.2">
      <c r="T831" t="s">
        <v>1197</v>
      </c>
    </row>
    <row r="832" spans="20:20" x14ac:dyDescent="0.2">
      <c r="T832" t="s">
        <v>1198</v>
      </c>
    </row>
    <row r="833" spans="20:20" x14ac:dyDescent="0.2">
      <c r="T833" t="s">
        <v>1022</v>
      </c>
    </row>
    <row r="834" spans="20:20" x14ac:dyDescent="0.2">
      <c r="T834" t="s">
        <v>1199</v>
      </c>
    </row>
    <row r="835" spans="20:20" x14ac:dyDescent="0.2">
      <c r="T835" t="s">
        <v>1200</v>
      </c>
    </row>
    <row r="836" spans="20:20" x14ac:dyDescent="0.2">
      <c r="T836" t="s">
        <v>1010</v>
      </c>
    </row>
    <row r="837" spans="20:20" x14ac:dyDescent="0.2">
      <c r="T837" t="s">
        <v>1021</v>
      </c>
    </row>
    <row r="838" spans="20:20" x14ac:dyDescent="0.2">
      <c r="T838" t="s">
        <v>1201</v>
      </c>
    </row>
    <row r="839" spans="20:20" x14ac:dyDescent="0.2">
      <c r="T839" t="s">
        <v>1202</v>
      </c>
    </row>
    <row r="840" spans="20:20" x14ac:dyDescent="0.2">
      <c r="T840" t="s">
        <v>1203</v>
      </c>
    </row>
    <row r="841" spans="20:20" x14ac:dyDescent="0.2">
      <c r="T841" t="s">
        <v>1204</v>
      </c>
    </row>
    <row r="842" spans="20:20" x14ac:dyDescent="0.2">
      <c r="T842" t="s">
        <v>1205</v>
      </c>
    </row>
    <row r="843" spans="20:20" x14ac:dyDescent="0.2">
      <c r="T843" t="s">
        <v>1206</v>
      </c>
    </row>
    <row r="844" spans="20:20" x14ac:dyDescent="0.2">
      <c r="T844" t="s">
        <v>1207</v>
      </c>
    </row>
    <row r="845" spans="20:20" x14ac:dyDescent="0.2">
      <c r="T845" t="s">
        <v>1208</v>
      </c>
    </row>
    <row r="846" spans="20:20" x14ac:dyDescent="0.2">
      <c r="T846" t="s">
        <v>1010</v>
      </c>
    </row>
    <row r="847" spans="20:20" x14ac:dyDescent="0.2">
      <c r="T847" t="s">
        <v>1021</v>
      </c>
    </row>
    <row r="848" spans="20:20" x14ac:dyDescent="0.2">
      <c r="T848" t="s">
        <v>1209</v>
      </c>
    </row>
    <row r="849" spans="20:20" x14ac:dyDescent="0.2">
      <c r="T849" t="s">
        <v>1210</v>
      </c>
    </row>
    <row r="850" spans="20:20" x14ac:dyDescent="0.2">
      <c r="T850" t="s">
        <v>1211</v>
      </c>
    </row>
    <row r="851" spans="20:20" x14ac:dyDescent="0.2">
      <c r="T851" t="s">
        <v>1212</v>
      </c>
    </row>
    <row r="852" spans="20:20" x14ac:dyDescent="0.2">
      <c r="T852" t="s">
        <v>1213</v>
      </c>
    </row>
    <row r="853" spans="20:20" x14ac:dyDescent="0.2">
      <c r="T853" t="s">
        <v>1214</v>
      </c>
    </row>
    <row r="854" spans="20:20" x14ac:dyDescent="0.2">
      <c r="T854" t="s">
        <v>1215</v>
      </c>
    </row>
    <row r="855" spans="20:20" x14ac:dyDescent="0.2">
      <c r="T855" t="s">
        <v>1216</v>
      </c>
    </row>
    <row r="856" spans="20:20" x14ac:dyDescent="0.2">
      <c r="T856" t="s">
        <v>1217</v>
      </c>
    </row>
    <row r="857" spans="20:20" x14ac:dyDescent="0.2">
      <c r="T857" t="s">
        <v>1218</v>
      </c>
    </row>
    <row r="858" spans="20:20" x14ac:dyDescent="0.2">
      <c r="T858" t="s">
        <v>1219</v>
      </c>
    </row>
    <row r="859" spans="20:20" x14ac:dyDescent="0.2">
      <c r="T859" t="s">
        <v>1220</v>
      </c>
    </row>
    <row r="860" spans="20:20" x14ac:dyDescent="0.2">
      <c r="T860" t="s">
        <v>1221</v>
      </c>
    </row>
    <row r="861" spans="20:20" x14ac:dyDescent="0.2">
      <c r="T861" t="s">
        <v>1010</v>
      </c>
    </row>
    <row r="862" spans="20:20" x14ac:dyDescent="0.2">
      <c r="T862" t="s">
        <v>1021</v>
      </c>
    </row>
    <row r="863" spans="20:20" x14ac:dyDescent="0.2">
      <c r="T863" t="s">
        <v>1222</v>
      </c>
    </row>
    <row r="864" spans="20:20" x14ac:dyDescent="0.2">
      <c r="T864" t="s">
        <v>1223</v>
      </c>
    </row>
    <row r="865" spans="20:20" x14ac:dyDescent="0.2">
      <c r="T865" t="s">
        <v>1224</v>
      </c>
    </row>
    <row r="866" spans="20:20" x14ac:dyDescent="0.2">
      <c r="T866" t="s">
        <v>1225</v>
      </c>
    </row>
    <row r="867" spans="20:20" x14ac:dyDescent="0.2">
      <c r="T867" t="s">
        <v>1226</v>
      </c>
    </row>
    <row r="868" spans="20:20" x14ac:dyDescent="0.2">
      <c r="T868" t="s">
        <v>1227</v>
      </c>
    </row>
    <row r="869" spans="20:20" x14ac:dyDescent="0.2">
      <c r="T869" t="s">
        <v>1228</v>
      </c>
    </row>
    <row r="870" spans="20:20" x14ac:dyDescent="0.2">
      <c r="T870" t="s">
        <v>1229</v>
      </c>
    </row>
    <row r="871" spans="20:20" x14ac:dyDescent="0.2">
      <c r="T871" t="s">
        <v>1230</v>
      </c>
    </row>
    <row r="872" spans="20:20" x14ac:dyDescent="0.2">
      <c r="T872" t="s">
        <v>1231</v>
      </c>
    </row>
    <row r="873" spans="20:20" x14ac:dyDescent="0.2">
      <c r="T873" t="s">
        <v>1232</v>
      </c>
    </row>
    <row r="874" spans="20:20" x14ac:dyDescent="0.2">
      <c r="T874" t="s">
        <v>1233</v>
      </c>
    </row>
    <row r="875" spans="20:20" x14ac:dyDescent="0.2">
      <c r="T875" t="s">
        <v>1234</v>
      </c>
    </row>
    <row r="876" spans="20:20" x14ac:dyDescent="0.2">
      <c r="T876" t="s">
        <v>1010</v>
      </c>
    </row>
    <row r="877" spans="20:20" x14ac:dyDescent="0.2">
      <c r="T877" t="s">
        <v>1021</v>
      </c>
    </row>
    <row r="878" spans="20:20" x14ac:dyDescent="0.2">
      <c r="T878" t="s">
        <v>1235</v>
      </c>
    </row>
    <row r="879" spans="20:20" x14ac:dyDescent="0.2">
      <c r="T879" t="s">
        <v>1236</v>
      </c>
    </row>
    <row r="880" spans="20:20" x14ac:dyDescent="0.2">
      <c r="T880" t="s">
        <v>1237</v>
      </c>
    </row>
    <row r="881" spans="20:20" x14ac:dyDescent="0.2">
      <c r="T881" t="s">
        <v>1238</v>
      </c>
    </row>
    <row r="882" spans="20:20" x14ac:dyDescent="0.2">
      <c r="T882" t="s">
        <v>1239</v>
      </c>
    </row>
    <row r="883" spans="20:20" x14ac:dyDescent="0.2">
      <c r="T883" t="s">
        <v>1240</v>
      </c>
    </row>
    <row r="884" spans="20:20" x14ac:dyDescent="0.2">
      <c r="T884" t="s">
        <v>1241</v>
      </c>
    </row>
    <row r="885" spans="20:20" x14ac:dyDescent="0.2">
      <c r="T885" t="s">
        <v>1242</v>
      </c>
    </row>
    <row r="886" spans="20:20" x14ac:dyDescent="0.2">
      <c r="T886" t="s">
        <v>1243</v>
      </c>
    </row>
    <row r="887" spans="20:20" x14ac:dyDescent="0.2">
      <c r="T887" t="s">
        <v>1244</v>
      </c>
    </row>
    <row r="888" spans="20:20" x14ac:dyDescent="0.2">
      <c r="T888" t="s">
        <v>1245</v>
      </c>
    </row>
    <row r="889" spans="20:20" x14ac:dyDescent="0.2">
      <c r="T889" t="s">
        <v>1246</v>
      </c>
    </row>
    <row r="890" spans="20:20" x14ac:dyDescent="0.2">
      <c r="T890" t="s">
        <v>638</v>
      </c>
    </row>
    <row r="891" spans="20:20" x14ac:dyDescent="0.2">
      <c r="T891" t="s">
        <v>1247</v>
      </c>
    </row>
    <row r="892" spans="20:20" x14ac:dyDescent="0.2">
      <c r="T892" t="s">
        <v>1248</v>
      </c>
    </row>
    <row r="893" spans="20:20" x14ac:dyDescent="0.2">
      <c r="T893" t="s">
        <v>1249</v>
      </c>
    </row>
    <row r="894" spans="20:20" x14ac:dyDescent="0.2">
      <c r="T894" t="s">
        <v>1250</v>
      </c>
    </row>
    <row r="895" spans="20:20" x14ac:dyDescent="0.2">
      <c r="T895" t="s">
        <v>1251</v>
      </c>
    </row>
    <row r="896" spans="20:20" x14ac:dyDescent="0.2">
      <c r="T896" t="s">
        <v>1252</v>
      </c>
    </row>
    <row r="897" spans="20:20" x14ac:dyDescent="0.2">
      <c r="T897" t="s">
        <v>1253</v>
      </c>
    </row>
    <row r="898" spans="20:20" x14ac:dyDescent="0.2">
      <c r="T898" t="s">
        <v>1254</v>
      </c>
    </row>
    <row r="899" spans="20:20" x14ac:dyDescent="0.2">
      <c r="T899" t="s">
        <v>1255</v>
      </c>
    </row>
    <row r="900" spans="20:20" x14ac:dyDescent="0.2">
      <c r="T900" t="s">
        <v>1256</v>
      </c>
    </row>
    <row r="901" spans="20:20" x14ac:dyDescent="0.2">
      <c r="T901" t="s">
        <v>1257</v>
      </c>
    </row>
    <row r="902" spans="20:20" x14ac:dyDescent="0.2">
      <c r="T902" t="s">
        <v>1258</v>
      </c>
    </row>
    <row r="903" spans="20:20" x14ac:dyDescent="0.2">
      <c r="T903" t="s">
        <v>1259</v>
      </c>
    </row>
    <row r="904" spans="20:20" x14ac:dyDescent="0.2">
      <c r="T904" t="s">
        <v>1260</v>
      </c>
    </row>
    <row r="905" spans="20:20" x14ac:dyDescent="0.2">
      <c r="T905" t="s">
        <v>1261</v>
      </c>
    </row>
    <row r="906" spans="20:20" x14ac:dyDescent="0.2">
      <c r="T906" t="s">
        <v>1262</v>
      </c>
    </row>
    <row r="907" spans="20:20" x14ac:dyDescent="0.2">
      <c r="T907" t="s">
        <v>1263</v>
      </c>
    </row>
    <row r="908" spans="20:20" x14ac:dyDescent="0.2">
      <c r="T908" t="s">
        <v>1264</v>
      </c>
    </row>
    <row r="909" spans="20:20" x14ac:dyDescent="0.2">
      <c r="T909" t="s">
        <v>1265</v>
      </c>
    </row>
    <row r="910" spans="20:20" x14ac:dyDescent="0.2">
      <c r="T910" t="s">
        <v>1266</v>
      </c>
    </row>
    <row r="911" spans="20:20" x14ac:dyDescent="0.2">
      <c r="T911" t="s">
        <v>1010</v>
      </c>
    </row>
    <row r="912" spans="20:20" x14ac:dyDescent="0.2">
      <c r="T912" t="s">
        <v>1021</v>
      </c>
    </row>
    <row r="913" spans="20:20" x14ac:dyDescent="0.2">
      <c r="T913" t="s">
        <v>1267</v>
      </c>
    </row>
    <row r="914" spans="20:20" x14ac:dyDescent="0.2">
      <c r="T914" t="s">
        <v>1268</v>
      </c>
    </row>
    <row r="915" spans="20:20" x14ac:dyDescent="0.2">
      <c r="T915" t="s">
        <v>1269</v>
      </c>
    </row>
    <row r="916" spans="20:20" x14ac:dyDescent="0.2">
      <c r="T916" t="s">
        <v>1270</v>
      </c>
    </row>
    <row r="917" spans="20:20" x14ac:dyDescent="0.2">
      <c r="T917" t="s">
        <v>1271</v>
      </c>
    </row>
    <row r="918" spans="20:20" x14ac:dyDescent="0.2">
      <c r="T918" t="s">
        <v>1272</v>
      </c>
    </row>
    <row r="919" spans="20:20" x14ac:dyDescent="0.2">
      <c r="T919" t="s">
        <v>1273</v>
      </c>
    </row>
    <row r="920" spans="20:20" x14ac:dyDescent="0.2">
      <c r="T920" t="s">
        <v>1274</v>
      </c>
    </row>
    <row r="921" spans="20:20" x14ac:dyDescent="0.2">
      <c r="T921" t="s">
        <v>1275</v>
      </c>
    </row>
    <row r="922" spans="20:20" x14ac:dyDescent="0.2">
      <c r="T922" t="s">
        <v>1276</v>
      </c>
    </row>
    <row r="923" spans="20:20" x14ac:dyDescent="0.2">
      <c r="T923" t="s">
        <v>1010</v>
      </c>
    </row>
    <row r="924" spans="20:20" x14ac:dyDescent="0.2">
      <c r="T924" t="s">
        <v>1021</v>
      </c>
    </row>
    <row r="925" spans="20:20" x14ac:dyDescent="0.2">
      <c r="T925" t="s">
        <v>1277</v>
      </c>
    </row>
    <row r="926" spans="20:20" x14ac:dyDescent="0.2">
      <c r="T926" t="s">
        <v>1278</v>
      </c>
    </row>
    <row r="927" spans="20:20" x14ac:dyDescent="0.2">
      <c r="T927" t="s">
        <v>1279</v>
      </c>
    </row>
    <row r="928" spans="20:20" x14ac:dyDescent="0.2">
      <c r="T928" t="s">
        <v>1280</v>
      </c>
    </row>
    <row r="929" spans="20:20" x14ac:dyDescent="0.2">
      <c r="T929" t="s">
        <v>1281</v>
      </c>
    </row>
    <row r="930" spans="20:20" x14ac:dyDescent="0.2">
      <c r="T930" t="s">
        <v>1282</v>
      </c>
    </row>
    <row r="931" spans="20:20" x14ac:dyDescent="0.2">
      <c r="T931" t="s">
        <v>1283</v>
      </c>
    </row>
    <row r="932" spans="20:20" x14ac:dyDescent="0.2">
      <c r="T932" t="s">
        <v>1284</v>
      </c>
    </row>
    <row r="933" spans="20:20" x14ac:dyDescent="0.2">
      <c r="T933" t="s">
        <v>1285</v>
      </c>
    </row>
    <row r="934" spans="20:20" x14ac:dyDescent="0.2">
      <c r="T934" t="s">
        <v>1286</v>
      </c>
    </row>
    <row r="935" spans="20:20" x14ac:dyDescent="0.2">
      <c r="T935" t="s">
        <v>1287</v>
      </c>
    </row>
    <row r="936" spans="20:20" x14ac:dyDescent="0.2">
      <c r="T936" t="s">
        <v>1288</v>
      </c>
    </row>
    <row r="937" spans="20:20" x14ac:dyDescent="0.2">
      <c r="T937" t="s">
        <v>1010</v>
      </c>
    </row>
    <row r="938" spans="20:20" x14ac:dyDescent="0.2">
      <c r="T938" t="s">
        <v>1021</v>
      </c>
    </row>
    <row r="939" spans="20:20" x14ac:dyDescent="0.2">
      <c r="T939" t="s">
        <v>1289</v>
      </c>
    </row>
    <row r="940" spans="20:20" x14ac:dyDescent="0.2">
      <c r="T940" t="s">
        <v>1290</v>
      </c>
    </row>
    <row r="941" spans="20:20" x14ac:dyDescent="0.2">
      <c r="T941" t="s">
        <v>1291</v>
      </c>
    </row>
    <row r="942" spans="20:20" x14ac:dyDescent="0.2">
      <c r="T942" t="s">
        <v>1292</v>
      </c>
    </row>
    <row r="943" spans="20:20" x14ac:dyDescent="0.2">
      <c r="T943" t="s">
        <v>1293</v>
      </c>
    </row>
    <row r="944" spans="20:20" x14ac:dyDescent="0.2">
      <c r="T944" t="s">
        <v>1294</v>
      </c>
    </row>
    <row r="945" spans="20:20" x14ac:dyDescent="0.2">
      <c r="T945" t="s">
        <v>1295</v>
      </c>
    </row>
    <row r="946" spans="20:20" x14ac:dyDescent="0.2">
      <c r="T946" t="s">
        <v>1296</v>
      </c>
    </row>
    <row r="947" spans="20:20" x14ac:dyDescent="0.2">
      <c r="T947" t="s">
        <v>1010</v>
      </c>
    </row>
    <row r="948" spans="20:20" x14ac:dyDescent="0.2">
      <c r="T948" t="s">
        <v>1021</v>
      </c>
    </row>
    <row r="949" spans="20:20" x14ac:dyDescent="0.2">
      <c r="T949" t="s">
        <v>1297</v>
      </c>
    </row>
    <row r="950" spans="20:20" x14ac:dyDescent="0.2">
      <c r="T950" t="s">
        <v>1298</v>
      </c>
    </row>
    <row r="951" spans="20:20" x14ac:dyDescent="0.2">
      <c r="T951" t="s">
        <v>1299</v>
      </c>
    </row>
    <row r="952" spans="20:20" x14ac:dyDescent="0.2">
      <c r="T952" t="s">
        <v>1300</v>
      </c>
    </row>
    <row r="953" spans="20:20" x14ac:dyDescent="0.2">
      <c r="T953" t="s">
        <v>1301</v>
      </c>
    </row>
    <row r="954" spans="20:20" x14ac:dyDescent="0.2">
      <c r="T954" t="s">
        <v>1302</v>
      </c>
    </row>
    <row r="955" spans="20:20" x14ac:dyDescent="0.2">
      <c r="T955" t="s">
        <v>1303</v>
      </c>
    </row>
    <row r="956" spans="20:20" x14ac:dyDescent="0.2">
      <c r="T956" t="s">
        <v>1304</v>
      </c>
    </row>
    <row r="957" spans="20:20" x14ac:dyDescent="0.2">
      <c r="T957" t="s">
        <v>1305</v>
      </c>
    </row>
    <row r="958" spans="20:20" x14ac:dyDescent="0.2">
      <c r="T958" t="s">
        <v>1010</v>
      </c>
    </row>
    <row r="959" spans="20:20" x14ac:dyDescent="0.2">
      <c r="T959" t="s">
        <v>1021</v>
      </c>
    </row>
    <row r="960" spans="20:20" x14ac:dyDescent="0.2">
      <c r="T960" t="s">
        <v>1306</v>
      </c>
    </row>
    <row r="961" spans="20:20" x14ac:dyDescent="0.2">
      <c r="T961" t="s">
        <v>1307</v>
      </c>
    </row>
    <row r="962" spans="20:20" x14ac:dyDescent="0.2">
      <c r="T962" t="s">
        <v>1308</v>
      </c>
    </row>
    <row r="963" spans="20:20" x14ac:dyDescent="0.2">
      <c r="T963" t="s">
        <v>1309</v>
      </c>
    </row>
    <row r="964" spans="20:20" x14ac:dyDescent="0.2">
      <c r="T964" t="s">
        <v>1310</v>
      </c>
    </row>
    <row r="965" spans="20:20" x14ac:dyDescent="0.2">
      <c r="T965" t="s">
        <v>1311</v>
      </c>
    </row>
    <row r="966" spans="20:20" x14ac:dyDescent="0.2">
      <c r="T966" t="s">
        <v>1312</v>
      </c>
    </row>
    <row r="967" spans="20:20" x14ac:dyDescent="0.2">
      <c r="T967" t="s">
        <v>1313</v>
      </c>
    </row>
    <row r="968" spans="20:20" x14ac:dyDescent="0.2">
      <c r="T968" t="s">
        <v>1305</v>
      </c>
    </row>
    <row r="969" spans="20:20" x14ac:dyDescent="0.2">
      <c r="T969" t="s">
        <v>1010</v>
      </c>
    </row>
    <row r="970" spans="20:20" x14ac:dyDescent="0.2">
      <c r="T970" t="s">
        <v>1021</v>
      </c>
    </row>
    <row r="971" spans="20:20" x14ac:dyDescent="0.2">
      <c r="T971" t="s">
        <v>1314</v>
      </c>
    </row>
    <row r="972" spans="20:20" x14ac:dyDescent="0.2">
      <c r="T972" t="s">
        <v>1315</v>
      </c>
    </row>
    <row r="973" spans="20:20" x14ac:dyDescent="0.2">
      <c r="T973" t="s">
        <v>1316</v>
      </c>
    </row>
    <row r="974" spans="20:20" x14ac:dyDescent="0.2">
      <c r="T974" t="s">
        <v>1317</v>
      </c>
    </row>
    <row r="975" spans="20:20" x14ac:dyDescent="0.2">
      <c r="T975" t="s">
        <v>1318</v>
      </c>
    </row>
    <row r="976" spans="20:20" x14ac:dyDescent="0.2">
      <c r="T976" t="s">
        <v>1319</v>
      </c>
    </row>
    <row r="977" spans="20:20" x14ac:dyDescent="0.2">
      <c r="T977" t="s">
        <v>1320</v>
      </c>
    </row>
    <row r="978" spans="20:20" x14ac:dyDescent="0.2">
      <c r="T978" t="s">
        <v>1010</v>
      </c>
    </row>
    <row r="979" spans="20:20" x14ac:dyDescent="0.2">
      <c r="T979" t="s">
        <v>1021</v>
      </c>
    </row>
    <row r="980" spans="20:20" x14ac:dyDescent="0.2">
      <c r="T980" t="s">
        <v>1321</v>
      </c>
    </row>
    <row r="981" spans="20:20" x14ac:dyDescent="0.2">
      <c r="T981" t="s">
        <v>1209</v>
      </c>
    </row>
    <row r="982" spans="20:20" x14ac:dyDescent="0.2">
      <c r="T982" t="s">
        <v>1322</v>
      </c>
    </row>
    <row r="983" spans="20:20" x14ac:dyDescent="0.2">
      <c r="T983" t="s">
        <v>1323</v>
      </c>
    </row>
    <row r="984" spans="20:20" x14ac:dyDescent="0.2">
      <c r="T984" t="s">
        <v>1324</v>
      </c>
    </row>
    <row r="985" spans="20:20" x14ac:dyDescent="0.2">
      <c r="T985" t="s">
        <v>1325</v>
      </c>
    </row>
    <row r="986" spans="20:20" x14ac:dyDescent="0.2">
      <c r="T986" t="s">
        <v>1326</v>
      </c>
    </row>
    <row r="987" spans="20:20" x14ac:dyDescent="0.2">
      <c r="T987" t="s">
        <v>1327</v>
      </c>
    </row>
    <row r="988" spans="20:20" x14ac:dyDescent="0.2">
      <c r="T988" t="s">
        <v>1328</v>
      </c>
    </row>
    <row r="989" spans="20:20" x14ac:dyDescent="0.2">
      <c r="T989" t="s">
        <v>1329</v>
      </c>
    </row>
    <row r="990" spans="20:20" x14ac:dyDescent="0.2">
      <c r="T990" t="s">
        <v>1330</v>
      </c>
    </row>
    <row r="991" spans="20:20" x14ac:dyDescent="0.2">
      <c r="T991" t="s">
        <v>1331</v>
      </c>
    </row>
    <row r="992" spans="20:20" x14ac:dyDescent="0.2">
      <c r="T992" t="s">
        <v>1332</v>
      </c>
    </row>
    <row r="993" spans="20:20" x14ac:dyDescent="0.2">
      <c r="T993" t="s">
        <v>1333</v>
      </c>
    </row>
    <row r="994" spans="20:20" x14ac:dyDescent="0.2">
      <c r="T994" t="s">
        <v>1334</v>
      </c>
    </row>
    <row r="995" spans="20:20" x14ac:dyDescent="0.2">
      <c r="T995" t="s">
        <v>1335</v>
      </c>
    </row>
    <row r="996" spans="20:20" x14ac:dyDescent="0.2">
      <c r="T996" t="s">
        <v>1010</v>
      </c>
    </row>
    <row r="997" spans="20:20" x14ac:dyDescent="0.2">
      <c r="T997" t="s">
        <v>1021</v>
      </c>
    </row>
    <row r="998" spans="20:20" x14ac:dyDescent="0.2">
      <c r="T998" t="s">
        <v>1336</v>
      </c>
    </row>
    <row r="999" spans="20:20" x14ac:dyDescent="0.2">
      <c r="T999" t="s">
        <v>1337</v>
      </c>
    </row>
    <row r="1000" spans="20:20" x14ac:dyDescent="0.2">
      <c r="T1000" t="s">
        <v>1338</v>
      </c>
    </row>
    <row r="1001" spans="20:20" x14ac:dyDescent="0.2">
      <c r="T1001" t="s">
        <v>1339</v>
      </c>
    </row>
    <row r="1002" spans="20:20" x14ac:dyDescent="0.2">
      <c r="T1002" t="s">
        <v>1340</v>
      </c>
    </row>
    <row r="1003" spans="20:20" x14ac:dyDescent="0.2">
      <c r="T1003" t="s">
        <v>1341</v>
      </c>
    </row>
    <row r="1004" spans="20:20" x14ac:dyDescent="0.2">
      <c r="T1004" t="s">
        <v>1342</v>
      </c>
    </row>
    <row r="1005" spans="20:20" x14ac:dyDescent="0.2">
      <c r="T1005" t="s">
        <v>1343</v>
      </c>
    </row>
    <row r="1006" spans="20:20" x14ac:dyDescent="0.2">
      <c r="T1006" t="s">
        <v>1010</v>
      </c>
    </row>
    <row r="1007" spans="20:20" x14ac:dyDescent="0.2">
      <c r="T1007" t="s">
        <v>1021</v>
      </c>
    </row>
    <row r="1008" spans="20:20" x14ac:dyDescent="0.2">
      <c r="T1008" t="s">
        <v>1344</v>
      </c>
    </row>
    <row r="1009" spans="20:20" x14ac:dyDescent="0.2">
      <c r="T1009" t="s">
        <v>1209</v>
      </c>
    </row>
    <row r="1010" spans="20:20" x14ac:dyDescent="0.2">
      <c r="T1010" t="s">
        <v>1345</v>
      </c>
    </row>
    <row r="1011" spans="20:20" x14ac:dyDescent="0.2">
      <c r="T1011" t="s">
        <v>1346</v>
      </c>
    </row>
    <row r="1012" spans="20:20" x14ac:dyDescent="0.2">
      <c r="T1012" t="s">
        <v>1347</v>
      </c>
    </row>
    <row r="1013" spans="20:20" x14ac:dyDescent="0.2">
      <c r="T1013" t="s">
        <v>1348</v>
      </c>
    </row>
    <row r="1014" spans="20:20" x14ac:dyDescent="0.2">
      <c r="T1014" t="s">
        <v>1349</v>
      </c>
    </row>
    <row r="1015" spans="20:20" x14ac:dyDescent="0.2">
      <c r="T1015" t="s">
        <v>1350</v>
      </c>
    </row>
    <row r="1016" spans="20:20" x14ac:dyDescent="0.2">
      <c r="T1016" t="s">
        <v>1351</v>
      </c>
    </row>
    <row r="1017" spans="20:20" x14ac:dyDescent="0.2">
      <c r="T1017" t="s">
        <v>1352</v>
      </c>
    </row>
    <row r="1018" spans="20:20" x14ac:dyDescent="0.2">
      <c r="T1018" t="s">
        <v>1353</v>
      </c>
    </row>
    <row r="1019" spans="20:20" x14ac:dyDescent="0.2">
      <c r="T1019" t="s">
        <v>1354</v>
      </c>
    </row>
    <row r="1020" spans="20:20" x14ac:dyDescent="0.2">
      <c r="T1020" t="s">
        <v>1010</v>
      </c>
    </row>
    <row r="1021" spans="20:20" x14ac:dyDescent="0.2">
      <c r="T1021" t="s">
        <v>1021</v>
      </c>
    </row>
    <row r="1022" spans="20:20" x14ac:dyDescent="0.2">
      <c r="T1022" t="s">
        <v>1235</v>
      </c>
    </row>
    <row r="1023" spans="20:20" x14ac:dyDescent="0.2">
      <c r="T1023" t="s">
        <v>1355</v>
      </c>
    </row>
    <row r="1024" spans="20:20" x14ac:dyDescent="0.2">
      <c r="T1024" t="s">
        <v>1356</v>
      </c>
    </row>
    <row r="1025" spans="20:20" x14ac:dyDescent="0.2">
      <c r="T1025" t="s">
        <v>1357</v>
      </c>
    </row>
    <row r="1026" spans="20:20" x14ac:dyDescent="0.2">
      <c r="T1026" t="s">
        <v>1358</v>
      </c>
    </row>
    <row r="1027" spans="20:20" x14ac:dyDescent="0.2">
      <c r="T1027" t="s">
        <v>1359</v>
      </c>
    </row>
    <row r="1028" spans="20:20" x14ac:dyDescent="0.2">
      <c r="T1028" t="s">
        <v>1360</v>
      </c>
    </row>
    <row r="1029" spans="20:20" x14ac:dyDescent="0.2">
      <c r="T1029" t="s">
        <v>1361</v>
      </c>
    </row>
    <row r="1030" spans="20:20" x14ac:dyDescent="0.2">
      <c r="T1030" t="s">
        <v>1362</v>
      </c>
    </row>
    <row r="1031" spans="20:20" x14ac:dyDescent="0.2">
      <c r="T1031" t="s">
        <v>1363</v>
      </c>
    </row>
    <row r="1032" spans="20:20" x14ac:dyDescent="0.2">
      <c r="T1032" t="s">
        <v>1010</v>
      </c>
    </row>
    <row r="1033" spans="20:20" x14ac:dyDescent="0.2">
      <c r="T1033" t="s">
        <v>1021</v>
      </c>
    </row>
    <row r="1034" spans="20:20" x14ac:dyDescent="0.2">
      <c r="T1034" t="s">
        <v>1364</v>
      </c>
    </row>
    <row r="1035" spans="20:20" x14ac:dyDescent="0.2">
      <c r="T1035" t="s">
        <v>1365</v>
      </c>
    </row>
    <row r="1036" spans="20:20" x14ac:dyDescent="0.2">
      <c r="T1036" t="s">
        <v>1366</v>
      </c>
    </row>
    <row r="1037" spans="20:20" x14ac:dyDescent="0.2">
      <c r="T1037" t="s">
        <v>1367</v>
      </c>
    </row>
    <row r="1038" spans="20:20" x14ac:dyDescent="0.2">
      <c r="T1038" t="s">
        <v>1368</v>
      </c>
    </row>
    <row r="1039" spans="20:20" x14ac:dyDescent="0.2">
      <c r="T1039" t="s">
        <v>1369</v>
      </c>
    </row>
    <row r="1040" spans="20:20" x14ac:dyDescent="0.2">
      <c r="T1040" t="s">
        <v>1370</v>
      </c>
    </row>
    <row r="1041" spans="20:20" x14ac:dyDescent="0.2">
      <c r="T1041" t="s">
        <v>1371</v>
      </c>
    </row>
    <row r="1042" spans="20:20" x14ac:dyDescent="0.2">
      <c r="T1042" t="s">
        <v>1372</v>
      </c>
    </row>
    <row r="1043" spans="20:20" x14ac:dyDescent="0.2">
      <c r="T1043" t="s">
        <v>1373</v>
      </c>
    </row>
    <row r="1044" spans="20:20" x14ac:dyDescent="0.2">
      <c r="T1044" t="s">
        <v>1374</v>
      </c>
    </row>
    <row r="1045" spans="20:20" x14ac:dyDescent="0.2">
      <c r="T1045" t="s">
        <v>1375</v>
      </c>
    </row>
    <row r="1046" spans="20:20" x14ac:dyDescent="0.2">
      <c r="T1046" t="s">
        <v>1376</v>
      </c>
    </row>
    <row r="1047" spans="20:20" x14ac:dyDescent="0.2">
      <c r="T1047" t="s">
        <v>1377</v>
      </c>
    </row>
    <row r="1048" spans="20:20" x14ac:dyDescent="0.2">
      <c r="T1048" t="s">
        <v>1378</v>
      </c>
    </row>
    <row r="1049" spans="20:20" x14ac:dyDescent="0.2">
      <c r="T1049" t="s">
        <v>1379</v>
      </c>
    </row>
    <row r="1050" spans="20:20" x14ac:dyDescent="0.2">
      <c r="T1050" t="s">
        <v>1380</v>
      </c>
    </row>
    <row r="1051" spans="20:20" x14ac:dyDescent="0.2">
      <c r="T1051" t="s">
        <v>1018</v>
      </c>
    </row>
    <row r="1052" spans="20:20" x14ac:dyDescent="0.2">
      <c r="T1052" t="s">
        <v>1019</v>
      </c>
    </row>
    <row r="1053" spans="20:20" x14ac:dyDescent="0.2">
      <c r="T1053" t="s">
        <v>472</v>
      </c>
    </row>
    <row r="1054" spans="20:20" x14ac:dyDescent="0.2">
      <c r="T1054" t="s">
        <v>1022</v>
      </c>
    </row>
    <row r="1055" spans="20:20" x14ac:dyDescent="0.2">
      <c r="T1055" t="s">
        <v>1010</v>
      </c>
    </row>
    <row r="1056" spans="20:20" x14ac:dyDescent="0.2">
      <c r="T1056" t="s">
        <v>1011</v>
      </c>
    </row>
    <row r="1057" spans="20:20" x14ac:dyDescent="0.2">
      <c r="T1057" t="s">
        <v>1381</v>
      </c>
    </row>
    <row r="1058" spans="20:20" x14ac:dyDescent="0.2">
      <c r="T1058" t="s">
        <v>1382</v>
      </c>
    </row>
    <row r="1059" spans="20:20" x14ac:dyDescent="0.2">
      <c r="T1059" t="s">
        <v>1383</v>
      </c>
    </row>
    <row r="1060" spans="20:20" x14ac:dyDescent="0.2">
      <c r="T1060" t="s">
        <v>1384</v>
      </c>
    </row>
    <row r="1061" spans="20:20" x14ac:dyDescent="0.2">
      <c r="T1061" t="s">
        <v>1385</v>
      </c>
    </row>
    <row r="1062" spans="20:20" x14ac:dyDescent="0.2">
      <c r="T1062" t="s">
        <v>1386</v>
      </c>
    </row>
    <row r="1063" spans="20:20" x14ac:dyDescent="0.2">
      <c r="T1063" t="s">
        <v>1387</v>
      </c>
    </row>
    <row r="1064" spans="20:20" x14ac:dyDescent="0.2">
      <c r="T1064" t="s">
        <v>1388</v>
      </c>
    </row>
    <row r="1065" spans="20:20" x14ac:dyDescent="0.2">
      <c r="T1065" t="s">
        <v>1389</v>
      </c>
    </row>
    <row r="1066" spans="20:20" x14ac:dyDescent="0.2">
      <c r="T1066" t="s">
        <v>1390</v>
      </c>
    </row>
    <row r="1067" spans="20:20" x14ac:dyDescent="0.2">
      <c r="T1067" t="s">
        <v>1391</v>
      </c>
    </row>
    <row r="1068" spans="20:20" x14ac:dyDescent="0.2">
      <c r="T1068" t="s">
        <v>1392</v>
      </c>
    </row>
    <row r="1069" spans="20:20" x14ac:dyDescent="0.2">
      <c r="T1069" t="s">
        <v>1393</v>
      </c>
    </row>
    <row r="1070" spans="20:20" x14ac:dyDescent="0.2">
      <c r="T1070" t="s">
        <v>1394</v>
      </c>
    </row>
    <row r="1071" spans="20:20" x14ac:dyDescent="0.2">
      <c r="T1071" t="s">
        <v>1395</v>
      </c>
    </row>
    <row r="1072" spans="20:20" x14ac:dyDescent="0.2">
      <c r="T1072" t="s">
        <v>1396</v>
      </c>
    </row>
    <row r="1073" spans="20:20" x14ac:dyDescent="0.2">
      <c r="T1073" t="s">
        <v>1397</v>
      </c>
    </row>
    <row r="1074" spans="20:20" x14ac:dyDescent="0.2">
      <c r="T1074" t="s">
        <v>1398</v>
      </c>
    </row>
    <row r="1075" spans="20:20" x14ac:dyDescent="0.2">
      <c r="T1075" t="s">
        <v>1399</v>
      </c>
    </row>
    <row r="1076" spans="20:20" x14ac:dyDescent="0.2">
      <c r="T1076" t="s">
        <v>1400</v>
      </c>
    </row>
    <row r="1077" spans="20:20" x14ac:dyDescent="0.2">
      <c r="T1077" t="s">
        <v>1018</v>
      </c>
    </row>
    <row r="1078" spans="20:20" x14ac:dyDescent="0.2">
      <c r="T1078" t="s">
        <v>1010</v>
      </c>
    </row>
    <row r="1079" spans="20:20" x14ac:dyDescent="0.2">
      <c r="T1079" t="s">
        <v>1011</v>
      </c>
    </row>
    <row r="1080" spans="20:20" x14ac:dyDescent="0.2">
      <c r="T1080" t="s">
        <v>1401</v>
      </c>
    </row>
    <row r="1081" spans="20:20" x14ac:dyDescent="0.2">
      <c r="T1081" t="s">
        <v>1402</v>
      </c>
    </row>
    <row r="1082" spans="20:20" x14ac:dyDescent="0.2">
      <c r="T1082" t="s">
        <v>1403</v>
      </c>
    </row>
    <row r="1083" spans="20:20" x14ac:dyDescent="0.2">
      <c r="T1083" t="s">
        <v>1404</v>
      </c>
    </row>
    <row r="1084" spans="20:20" x14ac:dyDescent="0.2">
      <c r="T1084" t="s">
        <v>1405</v>
      </c>
    </row>
    <row r="1085" spans="20:20" x14ac:dyDescent="0.2">
      <c r="T1085" t="s">
        <v>1406</v>
      </c>
    </row>
    <row r="1086" spans="20:20" x14ac:dyDescent="0.2">
      <c r="T1086" t="s">
        <v>1407</v>
      </c>
    </row>
    <row r="1087" spans="20:20" x14ac:dyDescent="0.2">
      <c r="T1087" t="s">
        <v>1408</v>
      </c>
    </row>
    <row r="1088" spans="20:20" x14ac:dyDescent="0.2">
      <c r="T1088" t="s">
        <v>1409</v>
      </c>
    </row>
    <row r="1089" spans="20:20" x14ac:dyDescent="0.2">
      <c r="T1089" t="s">
        <v>1410</v>
      </c>
    </row>
    <row r="1090" spans="20:20" x14ac:dyDescent="0.2">
      <c r="T1090" t="s">
        <v>1411</v>
      </c>
    </row>
    <row r="1091" spans="20:20" x14ac:dyDescent="0.2">
      <c r="T1091" t="s">
        <v>1412</v>
      </c>
    </row>
    <row r="1092" spans="20:20" x14ac:dyDescent="0.2">
      <c r="T1092" t="s">
        <v>1413</v>
      </c>
    </row>
    <row r="1093" spans="20:20" x14ac:dyDescent="0.2">
      <c r="T1093" t="s">
        <v>1414</v>
      </c>
    </row>
    <row r="1094" spans="20:20" x14ac:dyDescent="0.2">
      <c r="T1094" t="s">
        <v>1415</v>
      </c>
    </row>
    <row r="1095" spans="20:20" x14ac:dyDescent="0.2">
      <c r="T1095" t="s">
        <v>1416</v>
      </c>
    </row>
    <row r="1096" spans="20:20" x14ac:dyDescent="0.2">
      <c r="T1096" t="s">
        <v>1417</v>
      </c>
    </row>
    <row r="1097" spans="20:20" x14ac:dyDescent="0.2">
      <c r="T1097" t="s">
        <v>1418</v>
      </c>
    </row>
    <row r="1098" spans="20:20" x14ac:dyDescent="0.2">
      <c r="T1098" t="s">
        <v>1419</v>
      </c>
    </row>
    <row r="1099" spans="20:20" x14ac:dyDescent="0.2">
      <c r="T1099" t="s">
        <v>1420</v>
      </c>
    </row>
    <row r="1100" spans="20:20" x14ac:dyDescent="0.2">
      <c r="T1100" t="s">
        <v>1421</v>
      </c>
    </row>
    <row r="1101" spans="20:20" x14ac:dyDescent="0.2">
      <c r="T1101" t="s">
        <v>1010</v>
      </c>
    </row>
    <row r="1102" spans="20:20" x14ac:dyDescent="0.2">
      <c r="T1102" t="s">
        <v>1021</v>
      </c>
    </row>
    <row r="1103" spans="20:20" x14ac:dyDescent="0.2">
      <c r="T1103" t="s">
        <v>1277</v>
      </c>
    </row>
    <row r="1104" spans="20:20" x14ac:dyDescent="0.2">
      <c r="T1104" t="s">
        <v>1422</v>
      </c>
    </row>
    <row r="1105" spans="20:20" x14ac:dyDescent="0.2">
      <c r="T1105" t="s">
        <v>1423</v>
      </c>
    </row>
    <row r="1106" spans="20:20" x14ac:dyDescent="0.2">
      <c r="T1106" t="s">
        <v>1424</v>
      </c>
    </row>
    <row r="1107" spans="20:20" x14ac:dyDescent="0.2">
      <c r="T1107" t="s">
        <v>1425</v>
      </c>
    </row>
    <row r="1108" spans="20:20" x14ac:dyDescent="0.2">
      <c r="T1108" t="s">
        <v>1426</v>
      </c>
    </row>
    <row r="1109" spans="20:20" x14ac:dyDescent="0.2">
      <c r="T1109" t="s">
        <v>1427</v>
      </c>
    </row>
    <row r="1110" spans="20:20" x14ac:dyDescent="0.2">
      <c r="T1110" t="s">
        <v>1428</v>
      </c>
    </row>
    <row r="1111" spans="20:20" x14ac:dyDescent="0.2">
      <c r="T1111" t="s">
        <v>1429</v>
      </c>
    </row>
    <row r="1112" spans="20:20" x14ac:dyDescent="0.2">
      <c r="T1112" t="s">
        <v>1430</v>
      </c>
    </row>
    <row r="1113" spans="20:20" x14ac:dyDescent="0.2">
      <c r="T1113" t="s">
        <v>1431</v>
      </c>
    </row>
    <row r="1114" spans="20:20" x14ac:dyDescent="0.2">
      <c r="T1114" t="s">
        <v>1432</v>
      </c>
    </row>
    <row r="1115" spans="20:20" x14ac:dyDescent="0.2">
      <c r="T1115" t="s">
        <v>1433</v>
      </c>
    </row>
    <row r="1116" spans="20:20" x14ac:dyDescent="0.2">
      <c r="T1116" t="s">
        <v>1010</v>
      </c>
    </row>
    <row r="1117" spans="20:20" x14ac:dyDescent="0.2">
      <c r="T1117" t="s">
        <v>1021</v>
      </c>
    </row>
    <row r="1118" spans="20:20" x14ac:dyDescent="0.2">
      <c r="T1118" t="s">
        <v>1434</v>
      </c>
    </row>
    <row r="1119" spans="20:20" x14ac:dyDescent="0.2">
      <c r="T1119" t="s">
        <v>1435</v>
      </c>
    </row>
    <row r="1120" spans="20:20" x14ac:dyDescent="0.2">
      <c r="T1120" t="s">
        <v>1436</v>
      </c>
    </row>
    <row r="1121" spans="20:20" x14ac:dyDescent="0.2">
      <c r="T1121" t="s">
        <v>1437</v>
      </c>
    </row>
    <row r="1122" spans="20:20" x14ac:dyDescent="0.2">
      <c r="T1122" t="s">
        <v>1438</v>
      </c>
    </row>
    <row r="1123" spans="20:20" x14ac:dyDescent="0.2">
      <c r="T1123" t="s">
        <v>1439</v>
      </c>
    </row>
    <row r="1124" spans="20:20" x14ac:dyDescent="0.2">
      <c r="T1124" t="s">
        <v>1440</v>
      </c>
    </row>
    <row r="1125" spans="20:20" x14ac:dyDescent="0.2">
      <c r="T1125" t="s">
        <v>1441</v>
      </c>
    </row>
    <row r="1126" spans="20:20" x14ac:dyDescent="0.2">
      <c r="T1126" t="s">
        <v>1442</v>
      </c>
    </row>
    <row r="1127" spans="20:20" x14ac:dyDescent="0.2">
      <c r="T1127" t="s">
        <v>1443</v>
      </c>
    </row>
    <row r="1128" spans="20:20" x14ac:dyDescent="0.2">
      <c r="T1128" t="s">
        <v>1010</v>
      </c>
    </row>
    <row r="1129" spans="20:20" x14ac:dyDescent="0.2">
      <c r="T1129" t="s">
        <v>1021</v>
      </c>
    </row>
    <row r="1130" spans="20:20" x14ac:dyDescent="0.2">
      <c r="T1130" t="s">
        <v>1444</v>
      </c>
    </row>
    <row r="1131" spans="20:20" x14ac:dyDescent="0.2">
      <c r="T1131" t="s">
        <v>1445</v>
      </c>
    </row>
    <row r="1132" spans="20:20" x14ac:dyDescent="0.2">
      <c r="T1132" t="s">
        <v>1446</v>
      </c>
    </row>
    <row r="1133" spans="20:20" x14ac:dyDescent="0.2">
      <c r="T1133" t="s">
        <v>1447</v>
      </c>
    </row>
    <row r="1134" spans="20:20" x14ac:dyDescent="0.2">
      <c r="T1134" t="s">
        <v>1448</v>
      </c>
    </row>
    <row r="1135" spans="20:20" x14ac:dyDescent="0.2">
      <c r="T1135" t="s">
        <v>1449</v>
      </c>
    </row>
    <row r="1136" spans="20:20" x14ac:dyDescent="0.2">
      <c r="T1136" t="s">
        <v>1043</v>
      </c>
    </row>
    <row r="1137" spans="20:20" x14ac:dyDescent="0.2">
      <c r="T1137" t="s">
        <v>1450</v>
      </c>
    </row>
    <row r="1138" spans="20:20" x14ac:dyDescent="0.2">
      <c r="T1138" t="s">
        <v>1451</v>
      </c>
    </row>
    <row r="1139" spans="20:20" x14ac:dyDescent="0.2">
      <c r="T1139" t="s">
        <v>1452</v>
      </c>
    </row>
    <row r="1140" spans="20:20" x14ac:dyDescent="0.2">
      <c r="T1140" t="s">
        <v>1453</v>
      </c>
    </row>
    <row r="1141" spans="20:20" x14ac:dyDescent="0.2">
      <c r="T1141" t="s">
        <v>1454</v>
      </c>
    </row>
    <row r="1142" spans="20:20" x14ac:dyDescent="0.2">
      <c r="T1142" t="s">
        <v>1455</v>
      </c>
    </row>
    <row r="1143" spans="20:20" x14ac:dyDescent="0.2">
      <c r="T1143" t="s">
        <v>1456</v>
      </c>
    </row>
    <row r="1144" spans="20:20" x14ac:dyDescent="0.2">
      <c r="T1144" t="s">
        <v>1457</v>
      </c>
    </row>
    <row r="1145" spans="20:20" x14ac:dyDescent="0.2">
      <c r="T1145" t="s">
        <v>1458</v>
      </c>
    </row>
    <row r="1146" spans="20:20" x14ac:dyDescent="0.2">
      <c r="T1146" t="s">
        <v>1459</v>
      </c>
    </row>
    <row r="1147" spans="20:20" x14ac:dyDescent="0.2">
      <c r="T1147" t="s">
        <v>1460</v>
      </c>
    </row>
    <row r="1148" spans="20:20" x14ac:dyDescent="0.2">
      <c r="T1148" t="s">
        <v>1010</v>
      </c>
    </row>
    <row r="1149" spans="20:20" x14ac:dyDescent="0.2">
      <c r="T1149" t="s">
        <v>1021</v>
      </c>
    </row>
    <row r="1150" spans="20:20" x14ac:dyDescent="0.2">
      <c r="T1150" t="s">
        <v>1461</v>
      </c>
    </row>
    <row r="1151" spans="20:20" x14ac:dyDescent="0.2">
      <c r="T1151" t="s">
        <v>1462</v>
      </c>
    </row>
    <row r="1152" spans="20:20" x14ac:dyDescent="0.2">
      <c r="T1152" t="s">
        <v>1463</v>
      </c>
    </row>
    <row r="1153" spans="20:20" x14ac:dyDescent="0.2">
      <c r="T1153" t="s">
        <v>1464</v>
      </c>
    </row>
    <row r="1154" spans="20:20" x14ac:dyDescent="0.2">
      <c r="T1154" t="s">
        <v>1465</v>
      </c>
    </row>
    <row r="1155" spans="20:20" x14ac:dyDescent="0.2">
      <c r="T1155" t="s">
        <v>1466</v>
      </c>
    </row>
    <row r="1156" spans="20:20" x14ac:dyDescent="0.2">
      <c r="T1156" t="s">
        <v>1467</v>
      </c>
    </row>
    <row r="1157" spans="20:20" x14ac:dyDescent="0.2">
      <c r="T1157" t="s">
        <v>1468</v>
      </c>
    </row>
    <row r="1158" spans="20:20" x14ac:dyDescent="0.2">
      <c r="T1158" t="s">
        <v>1010</v>
      </c>
    </row>
    <row r="1159" spans="20:20" x14ac:dyDescent="0.2">
      <c r="T1159" t="s">
        <v>1021</v>
      </c>
    </row>
    <row r="1160" spans="20:20" x14ac:dyDescent="0.2">
      <c r="T1160" t="s">
        <v>1364</v>
      </c>
    </row>
    <row r="1161" spans="20:20" x14ac:dyDescent="0.2">
      <c r="T1161" t="s">
        <v>1469</v>
      </c>
    </row>
    <row r="1162" spans="20:20" x14ac:dyDescent="0.2">
      <c r="T1162" t="s">
        <v>1470</v>
      </c>
    </row>
    <row r="1163" spans="20:20" x14ac:dyDescent="0.2">
      <c r="T1163" t="s">
        <v>1471</v>
      </c>
    </row>
    <row r="1164" spans="20:20" x14ac:dyDescent="0.2">
      <c r="T1164" t="s">
        <v>1472</v>
      </c>
    </row>
    <row r="1165" spans="20:20" x14ac:dyDescent="0.2">
      <c r="T1165" t="s">
        <v>1473</v>
      </c>
    </row>
    <row r="1166" spans="20:20" x14ac:dyDescent="0.2">
      <c r="T1166" t="s">
        <v>1474</v>
      </c>
    </row>
    <row r="1167" spans="20:20" x14ac:dyDescent="0.2">
      <c r="T1167" t="s">
        <v>1475</v>
      </c>
    </row>
    <row r="1168" spans="20:20" x14ac:dyDescent="0.2">
      <c r="T1168" t="s">
        <v>1476</v>
      </c>
    </row>
    <row r="1169" spans="20:20" x14ac:dyDescent="0.2">
      <c r="T1169" t="s">
        <v>1477</v>
      </c>
    </row>
    <row r="1170" spans="20:20" x14ac:dyDescent="0.2">
      <c r="T1170" t="s">
        <v>1478</v>
      </c>
    </row>
    <row r="1171" spans="20:20" x14ac:dyDescent="0.2">
      <c r="T1171" t="s">
        <v>1479</v>
      </c>
    </row>
    <row r="1172" spans="20:20" x14ac:dyDescent="0.2">
      <c r="T1172" t="s">
        <v>1480</v>
      </c>
    </row>
    <row r="1173" spans="20:20" x14ac:dyDescent="0.2">
      <c r="T1173" t="s">
        <v>1481</v>
      </c>
    </row>
    <row r="1174" spans="20:20" x14ac:dyDescent="0.2">
      <c r="T1174" t="s">
        <v>1482</v>
      </c>
    </row>
    <row r="1175" spans="20:20" x14ac:dyDescent="0.2">
      <c r="T1175" t="s">
        <v>1483</v>
      </c>
    </row>
    <row r="1176" spans="20:20" x14ac:dyDescent="0.2">
      <c r="T1176" t="s">
        <v>1068</v>
      </c>
    </row>
    <row r="1177" spans="20:20" x14ac:dyDescent="0.2">
      <c r="T1177" t="s">
        <v>1069</v>
      </c>
    </row>
    <row r="1178" spans="20:20" x14ac:dyDescent="0.2">
      <c r="T1178" t="s">
        <v>1018</v>
      </c>
    </row>
    <row r="1179" spans="20:20" x14ac:dyDescent="0.2">
      <c r="T1179" t="s">
        <v>1484</v>
      </c>
    </row>
    <row r="1180" spans="20:20" x14ac:dyDescent="0.2">
      <c r="T1180" t="s">
        <v>1485</v>
      </c>
    </row>
    <row r="1181" spans="20:20" x14ac:dyDescent="0.2">
      <c r="T1181" t="s">
        <v>1486</v>
      </c>
    </row>
    <row r="1182" spans="20:20" x14ac:dyDescent="0.2">
      <c r="T1182" t="s">
        <v>1487</v>
      </c>
    </row>
    <row r="1183" spans="20:20" x14ac:dyDescent="0.2">
      <c r="T1183" t="s">
        <v>1488</v>
      </c>
    </row>
    <row r="1184" spans="20:20" x14ac:dyDescent="0.2">
      <c r="T1184" t="s">
        <v>1489</v>
      </c>
    </row>
    <row r="1185" spans="20:20" x14ac:dyDescent="0.2">
      <c r="T1185" t="s">
        <v>1490</v>
      </c>
    </row>
    <row r="1186" spans="20:20" x14ac:dyDescent="0.2">
      <c r="T1186" t="s">
        <v>1491</v>
      </c>
    </row>
    <row r="1187" spans="20:20" x14ac:dyDescent="0.2">
      <c r="T1187" t="s">
        <v>1492</v>
      </c>
    </row>
    <row r="1188" spans="20:20" x14ac:dyDescent="0.2">
      <c r="T1188" t="s">
        <v>1493</v>
      </c>
    </row>
    <row r="1189" spans="20:20" x14ac:dyDescent="0.2">
      <c r="T1189" t="s">
        <v>1494</v>
      </c>
    </row>
    <row r="1190" spans="20:20" x14ac:dyDescent="0.2">
      <c r="T1190" t="s">
        <v>1495</v>
      </c>
    </row>
    <row r="1191" spans="20:20" x14ac:dyDescent="0.2">
      <c r="T1191" t="s">
        <v>1496</v>
      </c>
    </row>
    <row r="1192" spans="20:20" x14ac:dyDescent="0.2">
      <c r="T1192" t="s">
        <v>1497</v>
      </c>
    </row>
    <row r="1193" spans="20:20" x14ac:dyDescent="0.2">
      <c r="T1193" t="s">
        <v>1498</v>
      </c>
    </row>
    <row r="1194" spans="20:20" x14ac:dyDescent="0.2">
      <c r="T1194" t="s">
        <v>1499</v>
      </c>
    </row>
    <row r="1195" spans="20:20" x14ac:dyDescent="0.2">
      <c r="T1195" t="s">
        <v>1500</v>
      </c>
    </row>
    <row r="1196" spans="20:20" x14ac:dyDescent="0.2">
      <c r="T1196" t="s">
        <v>1501</v>
      </c>
    </row>
    <row r="1197" spans="20:20" x14ac:dyDescent="0.2">
      <c r="T1197" t="s">
        <v>1502</v>
      </c>
    </row>
    <row r="1198" spans="20:20" x14ac:dyDescent="0.2">
      <c r="T1198" t="s">
        <v>1503</v>
      </c>
    </row>
    <row r="1199" spans="20:20" x14ac:dyDescent="0.2">
      <c r="T1199" t="s">
        <v>1504</v>
      </c>
    </row>
    <row r="1200" spans="20:20" x14ac:dyDescent="0.2">
      <c r="T1200" t="s">
        <v>1505</v>
      </c>
    </row>
    <row r="1201" spans="20:20" x14ac:dyDescent="0.2">
      <c r="T1201" t="s">
        <v>1506</v>
      </c>
    </row>
    <row r="1202" spans="20:20" x14ac:dyDescent="0.2">
      <c r="T1202" t="s">
        <v>1507</v>
      </c>
    </row>
    <row r="1203" spans="20:20" x14ac:dyDescent="0.2">
      <c r="T1203" t="s">
        <v>1508</v>
      </c>
    </row>
    <row r="1204" spans="20:20" x14ac:dyDescent="0.2">
      <c r="T1204" t="s">
        <v>1509</v>
      </c>
    </row>
    <row r="1205" spans="20:20" x14ac:dyDescent="0.2">
      <c r="T1205" t="s">
        <v>1510</v>
      </c>
    </row>
    <row r="1206" spans="20:20" x14ac:dyDescent="0.2">
      <c r="T1206" t="s">
        <v>1511</v>
      </c>
    </row>
    <row r="1207" spans="20:20" x14ac:dyDescent="0.2">
      <c r="T1207" t="s">
        <v>1512</v>
      </c>
    </row>
    <row r="1208" spans="20:20" x14ac:dyDescent="0.2">
      <c r="T1208" t="s">
        <v>1513</v>
      </c>
    </row>
    <row r="1209" spans="20:20" x14ac:dyDescent="0.2">
      <c r="T1209" t="s">
        <v>1514</v>
      </c>
    </row>
    <row r="1210" spans="20:20" x14ac:dyDescent="0.2">
      <c r="T1210" t="s">
        <v>1515</v>
      </c>
    </row>
    <row r="1211" spans="20:20" x14ac:dyDescent="0.2">
      <c r="T1211" t="s">
        <v>1516</v>
      </c>
    </row>
    <row r="1212" spans="20:20" x14ac:dyDescent="0.2">
      <c r="T1212" t="s">
        <v>1517</v>
      </c>
    </row>
    <row r="1213" spans="20:20" x14ac:dyDescent="0.2">
      <c r="T1213" t="s">
        <v>1518</v>
      </c>
    </row>
    <row r="1214" spans="20:20" x14ac:dyDescent="0.2">
      <c r="T1214" t="s">
        <v>1519</v>
      </c>
    </row>
    <row r="1215" spans="20:20" x14ac:dyDescent="0.2">
      <c r="T1215" t="s">
        <v>1520</v>
      </c>
    </row>
    <row r="1216" spans="20:20" x14ac:dyDescent="0.2">
      <c r="T1216" t="s">
        <v>1521</v>
      </c>
    </row>
    <row r="1217" spans="20:20" x14ac:dyDescent="0.2">
      <c r="T1217" t="s">
        <v>1522</v>
      </c>
    </row>
    <row r="1218" spans="20:20" x14ac:dyDescent="0.2">
      <c r="T1218" t="s">
        <v>1523</v>
      </c>
    </row>
    <row r="1219" spans="20:20" x14ac:dyDescent="0.2">
      <c r="T1219" t="s">
        <v>1524</v>
      </c>
    </row>
    <row r="1220" spans="20:20" x14ac:dyDescent="0.2">
      <c r="T1220" t="s">
        <v>1525</v>
      </c>
    </row>
    <row r="1221" spans="20:20" x14ac:dyDescent="0.2">
      <c r="T1221" t="s">
        <v>1526</v>
      </c>
    </row>
    <row r="1222" spans="20:20" x14ac:dyDescent="0.2">
      <c r="T1222" t="s">
        <v>1527</v>
      </c>
    </row>
    <row r="1223" spans="20:20" x14ac:dyDescent="0.2">
      <c r="T1223" t="s">
        <v>1528</v>
      </c>
    </row>
    <row r="1224" spans="20:20" x14ac:dyDescent="0.2">
      <c r="T1224" t="s">
        <v>1529</v>
      </c>
    </row>
    <row r="1225" spans="20:20" x14ac:dyDescent="0.2">
      <c r="T1225" t="s">
        <v>1530</v>
      </c>
    </row>
    <row r="1226" spans="20:20" x14ac:dyDescent="0.2">
      <c r="T1226" t="s">
        <v>1531</v>
      </c>
    </row>
    <row r="1227" spans="20:20" x14ac:dyDescent="0.2">
      <c r="T1227" t="s">
        <v>1532</v>
      </c>
    </row>
    <row r="1228" spans="20:20" x14ac:dyDescent="0.2">
      <c r="T1228" t="s">
        <v>1533</v>
      </c>
    </row>
    <row r="1229" spans="20:20" x14ac:dyDescent="0.2">
      <c r="T1229" t="s">
        <v>1534</v>
      </c>
    </row>
    <row r="1230" spans="20:20" x14ac:dyDescent="0.2">
      <c r="T1230" t="s">
        <v>1535</v>
      </c>
    </row>
    <row r="1231" spans="20:20" x14ac:dyDescent="0.2">
      <c r="T1231" t="s">
        <v>1536</v>
      </c>
    </row>
    <row r="1232" spans="20:20" x14ac:dyDescent="0.2">
      <c r="T1232" t="s">
        <v>1537</v>
      </c>
    </row>
    <row r="1233" spans="20:20" x14ac:dyDescent="0.2">
      <c r="T1233" t="s">
        <v>1538</v>
      </c>
    </row>
    <row r="1234" spans="20:20" x14ac:dyDescent="0.2">
      <c r="T1234" t="s">
        <v>1539</v>
      </c>
    </row>
    <row r="1235" spans="20:20" x14ac:dyDescent="0.2">
      <c r="T1235" t="s">
        <v>1540</v>
      </c>
    </row>
    <row r="1236" spans="20:20" x14ac:dyDescent="0.2">
      <c r="T1236" t="s">
        <v>1541</v>
      </c>
    </row>
    <row r="1237" spans="20:20" x14ac:dyDescent="0.2">
      <c r="T1237" t="s">
        <v>1542</v>
      </c>
    </row>
    <row r="1238" spans="20:20" x14ac:dyDescent="0.2">
      <c r="T1238" t="s">
        <v>1543</v>
      </c>
    </row>
    <row r="1239" spans="20:20" x14ac:dyDescent="0.2">
      <c r="T1239" t="s">
        <v>1544</v>
      </c>
    </row>
    <row r="1240" spans="20:20" x14ac:dyDescent="0.2">
      <c r="T1240" t="s">
        <v>1545</v>
      </c>
    </row>
    <row r="1241" spans="20:20" x14ac:dyDescent="0.2">
      <c r="T1241" t="s">
        <v>1546</v>
      </c>
    </row>
    <row r="1242" spans="20:20" x14ac:dyDescent="0.2">
      <c r="T1242" t="s">
        <v>1547</v>
      </c>
    </row>
    <row r="1243" spans="20:20" x14ac:dyDescent="0.2">
      <c r="T1243" t="s">
        <v>1548</v>
      </c>
    </row>
    <row r="1244" spans="20:20" x14ac:dyDescent="0.2">
      <c r="T1244" t="s">
        <v>1549</v>
      </c>
    </row>
    <row r="1245" spans="20:20" x14ac:dyDescent="0.2">
      <c r="T1245" t="s">
        <v>1550</v>
      </c>
    </row>
    <row r="1246" spans="20:20" x14ac:dyDescent="0.2">
      <c r="T1246" t="s">
        <v>1551</v>
      </c>
    </row>
    <row r="1247" spans="20:20" x14ac:dyDescent="0.2">
      <c r="T1247" t="s">
        <v>1552</v>
      </c>
    </row>
    <row r="1248" spans="20:20" x14ac:dyDescent="0.2">
      <c r="T1248" t="s">
        <v>1553</v>
      </c>
    </row>
    <row r="1249" spans="20:20" x14ac:dyDescent="0.2">
      <c r="T1249" t="s">
        <v>1554</v>
      </c>
    </row>
    <row r="1250" spans="20:20" x14ac:dyDescent="0.2">
      <c r="T1250" t="s">
        <v>1555</v>
      </c>
    </row>
    <row r="1251" spans="20:20" x14ac:dyDescent="0.2">
      <c r="T1251" t="s">
        <v>1010</v>
      </c>
    </row>
    <row r="1252" spans="20:20" x14ac:dyDescent="0.2">
      <c r="T1252" t="s">
        <v>1556</v>
      </c>
    </row>
    <row r="1253" spans="20:20" x14ac:dyDescent="0.2">
      <c r="T1253" t="s">
        <v>1557</v>
      </c>
    </row>
    <row r="1254" spans="20:20" x14ac:dyDescent="0.2">
      <c r="T1254" t="s">
        <v>1558</v>
      </c>
    </row>
    <row r="1255" spans="20:20" x14ac:dyDescent="0.2">
      <c r="T1255" t="s">
        <v>1559</v>
      </c>
    </row>
    <row r="1256" spans="20:20" x14ac:dyDescent="0.2">
      <c r="T1256" t="s">
        <v>1560</v>
      </c>
    </row>
    <row r="1257" spans="20:20" x14ac:dyDescent="0.2">
      <c r="T1257" t="s">
        <v>1561</v>
      </c>
    </row>
    <row r="1258" spans="20:20" x14ac:dyDescent="0.2">
      <c r="T1258" t="s">
        <v>1562</v>
      </c>
    </row>
    <row r="1259" spans="20:20" x14ac:dyDescent="0.2">
      <c r="T1259" t="s">
        <v>1563</v>
      </c>
    </row>
    <row r="1260" spans="20:20" x14ac:dyDescent="0.2">
      <c r="T1260" t="s">
        <v>1010</v>
      </c>
    </row>
    <row r="1261" spans="20:20" x14ac:dyDescent="0.2">
      <c r="T1261" t="s">
        <v>1021</v>
      </c>
    </row>
    <row r="1262" spans="20:20" x14ac:dyDescent="0.2">
      <c r="T1262" t="s">
        <v>1564</v>
      </c>
    </row>
    <row r="1263" spans="20:20" x14ac:dyDescent="0.2">
      <c r="T1263" t="s">
        <v>1565</v>
      </c>
    </row>
    <row r="1264" spans="20:20" x14ac:dyDescent="0.2">
      <c r="T1264" t="s">
        <v>1566</v>
      </c>
    </row>
    <row r="1265" spans="20:20" x14ac:dyDescent="0.2">
      <c r="T1265" t="s">
        <v>1567</v>
      </c>
    </row>
    <row r="1266" spans="20:20" x14ac:dyDescent="0.2">
      <c r="T1266" t="s">
        <v>1568</v>
      </c>
    </row>
    <row r="1267" spans="20:20" x14ac:dyDescent="0.2">
      <c r="T1267" t="s">
        <v>1569</v>
      </c>
    </row>
    <row r="1268" spans="20:20" x14ac:dyDescent="0.2">
      <c r="T1268" t="s">
        <v>1570</v>
      </c>
    </row>
    <row r="1269" spans="20:20" x14ac:dyDescent="0.2">
      <c r="T1269" t="s">
        <v>1571</v>
      </c>
    </row>
    <row r="1270" spans="20:20" x14ac:dyDescent="0.2">
      <c r="T1270" t="s">
        <v>1572</v>
      </c>
    </row>
    <row r="1271" spans="20:20" x14ac:dyDescent="0.2">
      <c r="T1271" t="s">
        <v>1573</v>
      </c>
    </row>
    <row r="1272" spans="20:20" x14ac:dyDescent="0.2">
      <c r="T1272" t="s">
        <v>1010</v>
      </c>
    </row>
    <row r="1273" spans="20:20" x14ac:dyDescent="0.2">
      <c r="T1273" t="s">
        <v>1021</v>
      </c>
    </row>
    <row r="1274" spans="20:20" x14ac:dyDescent="0.2">
      <c r="T1274" t="s">
        <v>1574</v>
      </c>
    </row>
    <row r="1275" spans="20:20" x14ac:dyDescent="0.2">
      <c r="T1275" t="s">
        <v>1222</v>
      </c>
    </row>
    <row r="1276" spans="20:20" x14ac:dyDescent="0.2">
      <c r="T1276" t="s">
        <v>1575</v>
      </c>
    </row>
    <row r="1277" spans="20:20" x14ac:dyDescent="0.2">
      <c r="T1277" t="s">
        <v>1576</v>
      </c>
    </row>
    <row r="1278" spans="20:20" x14ac:dyDescent="0.2">
      <c r="T1278" t="s">
        <v>1577</v>
      </c>
    </row>
    <row r="1279" spans="20:20" x14ac:dyDescent="0.2">
      <c r="T1279" t="s">
        <v>1578</v>
      </c>
    </row>
    <row r="1280" spans="20:20" x14ac:dyDescent="0.2">
      <c r="T1280" t="s">
        <v>1579</v>
      </c>
    </row>
    <row r="1281" spans="20:20" x14ac:dyDescent="0.2">
      <c r="T1281" t="s">
        <v>1580</v>
      </c>
    </row>
    <row r="1282" spans="20:20" x14ac:dyDescent="0.2">
      <c r="T1282" t="s">
        <v>1581</v>
      </c>
    </row>
    <row r="1283" spans="20:20" x14ac:dyDescent="0.2">
      <c r="T1283" t="s">
        <v>1582</v>
      </c>
    </row>
    <row r="1284" spans="20:20" x14ac:dyDescent="0.2">
      <c r="T1284" t="s">
        <v>1583</v>
      </c>
    </row>
    <row r="1285" spans="20:20" x14ac:dyDescent="0.2">
      <c r="T1285" t="s">
        <v>1584</v>
      </c>
    </row>
    <row r="1286" spans="20:20" x14ac:dyDescent="0.2">
      <c r="T1286" t="s">
        <v>1010</v>
      </c>
    </row>
    <row r="1287" spans="20:20" x14ac:dyDescent="0.2">
      <c r="T1287" t="s">
        <v>1021</v>
      </c>
    </row>
    <row r="1288" spans="20:20" x14ac:dyDescent="0.2">
      <c r="T1288" t="s">
        <v>1585</v>
      </c>
    </row>
    <row r="1289" spans="20:20" x14ac:dyDescent="0.2">
      <c r="T1289" t="s">
        <v>1586</v>
      </c>
    </row>
    <row r="1290" spans="20:20" x14ac:dyDescent="0.2">
      <c r="T1290" t="s">
        <v>1587</v>
      </c>
    </row>
    <row r="1291" spans="20:20" x14ac:dyDescent="0.2">
      <c r="T1291" t="s">
        <v>1588</v>
      </c>
    </row>
    <row r="1292" spans="20:20" x14ac:dyDescent="0.2">
      <c r="T1292" t="s">
        <v>1589</v>
      </c>
    </row>
    <row r="1293" spans="20:20" x14ac:dyDescent="0.2">
      <c r="T1293" t="s">
        <v>1590</v>
      </c>
    </row>
    <row r="1294" spans="20:20" x14ac:dyDescent="0.2">
      <c r="T1294" t="s">
        <v>1591</v>
      </c>
    </row>
    <row r="1295" spans="20:20" x14ac:dyDescent="0.2">
      <c r="T1295" t="s">
        <v>1592</v>
      </c>
    </row>
    <row r="1296" spans="20:20" x14ac:dyDescent="0.2">
      <c r="T1296" t="s">
        <v>496</v>
      </c>
    </row>
    <row r="1297" spans="20:20" x14ac:dyDescent="0.2">
      <c r="T1297" t="s">
        <v>1593</v>
      </c>
    </row>
    <row r="1298" spans="20:20" x14ac:dyDescent="0.2">
      <c r="T1298" t="s">
        <v>1594</v>
      </c>
    </row>
    <row r="1299" spans="20:20" x14ac:dyDescent="0.2">
      <c r="T1299" t="s">
        <v>1595</v>
      </c>
    </row>
    <row r="1300" spans="20:20" x14ac:dyDescent="0.2">
      <c r="T1300" t="s">
        <v>1596</v>
      </c>
    </row>
    <row r="1301" spans="20:20" x14ac:dyDescent="0.2">
      <c r="T1301" t="s">
        <v>1597</v>
      </c>
    </row>
    <row r="1302" spans="20:20" x14ac:dyDescent="0.2">
      <c r="T1302" t="s">
        <v>1598</v>
      </c>
    </row>
    <row r="1303" spans="20:20" x14ac:dyDescent="0.2">
      <c r="T1303" t="s">
        <v>1599</v>
      </c>
    </row>
    <row r="1304" spans="20:20" x14ac:dyDescent="0.2">
      <c r="T1304" t="s">
        <v>1600</v>
      </c>
    </row>
    <row r="1305" spans="20:20" x14ac:dyDescent="0.2">
      <c r="T1305" t="s">
        <v>1601</v>
      </c>
    </row>
    <row r="1306" spans="20:20" x14ac:dyDescent="0.2">
      <c r="T1306" t="s">
        <v>1602</v>
      </c>
    </row>
    <row r="1307" spans="20:20" x14ac:dyDescent="0.2">
      <c r="T1307" t="s">
        <v>1603</v>
      </c>
    </row>
    <row r="1308" spans="20:20" x14ac:dyDescent="0.2">
      <c r="T1308" t="s">
        <v>1604</v>
      </c>
    </row>
    <row r="1309" spans="20:20" x14ac:dyDescent="0.2">
      <c r="T1309" t="s">
        <v>1605</v>
      </c>
    </row>
    <row r="1310" spans="20:20" x14ac:dyDescent="0.2">
      <c r="T1310" t="s">
        <v>1606</v>
      </c>
    </row>
    <row r="1311" spans="20:20" x14ac:dyDescent="0.2">
      <c r="T1311" t="s">
        <v>1607</v>
      </c>
    </row>
    <row r="1312" spans="20:20" x14ac:dyDescent="0.2">
      <c r="T1312" t="s">
        <v>1608</v>
      </c>
    </row>
    <row r="1313" spans="20:20" x14ac:dyDescent="0.2">
      <c r="T1313" t="s">
        <v>1609</v>
      </c>
    </row>
    <row r="1314" spans="20:20" x14ac:dyDescent="0.2">
      <c r="T1314" t="s">
        <v>473</v>
      </c>
    </row>
    <row r="1315" spans="20:20" x14ac:dyDescent="0.2">
      <c r="T1315" t="s">
        <v>1610</v>
      </c>
    </row>
    <row r="1316" spans="20:20" x14ac:dyDescent="0.2">
      <c r="T1316" t="s">
        <v>1611</v>
      </c>
    </row>
    <row r="1317" spans="20:20" x14ac:dyDescent="0.2">
      <c r="T1317" t="s">
        <v>1612</v>
      </c>
    </row>
    <row r="1318" spans="20:20" x14ac:dyDescent="0.2">
      <c r="T1318" t="s">
        <v>1613</v>
      </c>
    </row>
    <row r="1319" spans="20:20" x14ac:dyDescent="0.2">
      <c r="T1319" t="s">
        <v>1614</v>
      </c>
    </row>
    <row r="1320" spans="20:20" x14ac:dyDescent="0.2">
      <c r="T1320" t="s">
        <v>1615</v>
      </c>
    </row>
    <row r="1321" spans="20:20" x14ac:dyDescent="0.2">
      <c r="T1321" t="s">
        <v>1616</v>
      </c>
    </row>
    <row r="1322" spans="20:20" x14ac:dyDescent="0.2">
      <c r="T1322" t="s">
        <v>1617</v>
      </c>
    </row>
    <row r="1323" spans="20:20" x14ac:dyDescent="0.2">
      <c r="T1323" t="s">
        <v>496</v>
      </c>
    </row>
    <row r="1324" spans="20:20" x14ac:dyDescent="0.2">
      <c r="T1324" t="s">
        <v>1618</v>
      </c>
    </row>
    <row r="1325" spans="20:20" x14ac:dyDescent="0.2">
      <c r="T1325" t="s">
        <v>1619</v>
      </c>
    </row>
    <row r="1326" spans="20:20" x14ac:dyDescent="0.2">
      <c r="T1326" t="s">
        <v>1620</v>
      </c>
    </row>
    <row r="1327" spans="20:20" x14ac:dyDescent="0.2">
      <c r="T1327" t="s">
        <v>1621</v>
      </c>
    </row>
    <row r="1328" spans="20:20" x14ac:dyDescent="0.2">
      <c r="T1328" t="s">
        <v>1622</v>
      </c>
    </row>
    <row r="1329" spans="20:20" x14ac:dyDescent="0.2">
      <c r="T1329" t="s">
        <v>1623</v>
      </c>
    </row>
    <row r="1330" spans="20:20" x14ac:dyDescent="0.2">
      <c r="T1330" t="s">
        <v>1068</v>
      </c>
    </row>
    <row r="1331" spans="20:20" x14ac:dyDescent="0.2">
      <c r="T1331" t="s">
        <v>1010</v>
      </c>
    </row>
    <row r="1332" spans="20:20" x14ac:dyDescent="0.2">
      <c r="T1332" t="s">
        <v>1021</v>
      </c>
    </row>
    <row r="1333" spans="20:20" x14ac:dyDescent="0.2">
      <c r="T1333" t="s">
        <v>1011</v>
      </c>
    </row>
    <row r="1334" spans="20:20" x14ac:dyDescent="0.2">
      <c r="T1334" t="s">
        <v>916</v>
      </c>
    </row>
    <row r="1335" spans="20:20" x14ac:dyDescent="0.2">
      <c r="T1335" t="s">
        <v>476</v>
      </c>
    </row>
    <row r="1336" spans="20:20" x14ac:dyDescent="0.2">
      <c r="T1336" t="s">
        <v>1624</v>
      </c>
    </row>
    <row r="1337" spans="20:20" x14ac:dyDescent="0.2">
      <c r="T1337" t="s">
        <v>1625</v>
      </c>
    </row>
    <row r="1338" spans="20:20" x14ac:dyDescent="0.2">
      <c r="T1338" t="s">
        <v>1626</v>
      </c>
    </row>
    <row r="1339" spans="20:20" x14ac:dyDescent="0.2">
      <c r="T1339" t="s">
        <v>1627</v>
      </c>
    </row>
    <row r="1340" spans="20:20" x14ac:dyDescent="0.2">
      <c r="T1340" t="s">
        <v>1628</v>
      </c>
    </row>
    <row r="1341" spans="20:20" x14ac:dyDescent="0.2">
      <c r="T1341" t="s">
        <v>1609</v>
      </c>
    </row>
    <row r="1342" spans="20:20" x14ac:dyDescent="0.2">
      <c r="T1342" t="s">
        <v>1629</v>
      </c>
    </row>
    <row r="1343" spans="20:20" x14ac:dyDescent="0.2">
      <c r="T1343" t="s">
        <v>1630</v>
      </c>
    </row>
    <row r="1344" spans="20:20" x14ac:dyDescent="0.2">
      <c r="T1344" t="s">
        <v>1631</v>
      </c>
    </row>
    <row r="1345" spans="20:20" x14ac:dyDescent="0.2">
      <c r="T1345" t="s">
        <v>1632</v>
      </c>
    </row>
    <row r="1346" spans="20:20" x14ac:dyDescent="0.2">
      <c r="T1346" t="s">
        <v>1633</v>
      </c>
    </row>
    <row r="1347" spans="20:20" x14ac:dyDescent="0.2">
      <c r="T1347" t="s">
        <v>1634</v>
      </c>
    </row>
    <row r="1348" spans="20:20" x14ac:dyDescent="0.2">
      <c r="T1348" t="s">
        <v>1635</v>
      </c>
    </row>
    <row r="1349" spans="20:20" x14ac:dyDescent="0.2">
      <c r="T1349" t="s">
        <v>1636</v>
      </c>
    </row>
    <row r="1350" spans="20:20" x14ac:dyDescent="0.2">
      <c r="T1350" t="s">
        <v>1637</v>
      </c>
    </row>
    <row r="1351" spans="20:20" x14ac:dyDescent="0.2">
      <c r="T1351" t="s">
        <v>1638</v>
      </c>
    </row>
    <row r="1352" spans="20:20" x14ac:dyDescent="0.2">
      <c r="T1352" t="s">
        <v>1639</v>
      </c>
    </row>
    <row r="1353" spans="20:20" x14ac:dyDescent="0.2">
      <c r="T1353" t="s">
        <v>496</v>
      </c>
    </row>
    <row r="1354" spans="20:20" x14ac:dyDescent="0.2">
      <c r="T1354" t="s">
        <v>1640</v>
      </c>
    </row>
    <row r="1355" spans="20:20" x14ac:dyDescent="0.2">
      <c r="T1355" t="s">
        <v>1641</v>
      </c>
    </row>
    <row r="1356" spans="20:20" x14ac:dyDescent="0.2">
      <c r="T1356" t="s">
        <v>1642</v>
      </c>
    </row>
    <row r="1357" spans="20:20" x14ac:dyDescent="0.2">
      <c r="T1357" t="s">
        <v>1643</v>
      </c>
    </row>
    <row r="1358" spans="20:20" x14ac:dyDescent="0.2">
      <c r="T1358" t="s">
        <v>1644</v>
      </c>
    </row>
    <row r="1359" spans="20:20" x14ac:dyDescent="0.2">
      <c r="T1359" t="s">
        <v>1645</v>
      </c>
    </row>
    <row r="1360" spans="20:20" x14ac:dyDescent="0.2">
      <c r="T1360" t="s">
        <v>1646</v>
      </c>
    </row>
    <row r="1361" spans="20:20" x14ac:dyDescent="0.2">
      <c r="T1361" t="s">
        <v>1647</v>
      </c>
    </row>
    <row r="1362" spans="20:20" x14ac:dyDescent="0.2">
      <c r="T1362" t="s">
        <v>1648</v>
      </c>
    </row>
    <row r="1363" spans="20:20" x14ac:dyDescent="0.2">
      <c r="T1363" t="s">
        <v>1649</v>
      </c>
    </row>
    <row r="1364" spans="20:20" x14ac:dyDescent="0.2">
      <c r="T1364" t="s">
        <v>1650</v>
      </c>
    </row>
    <row r="1365" spans="20:20" x14ac:dyDescent="0.2">
      <c r="T1365" t="s">
        <v>1651</v>
      </c>
    </row>
    <row r="1366" spans="20:20" x14ac:dyDescent="0.2">
      <c r="T1366" t="s">
        <v>472</v>
      </c>
    </row>
    <row r="1367" spans="20:20" x14ac:dyDescent="0.2">
      <c r="T1367" t="s">
        <v>473</v>
      </c>
    </row>
    <row r="1368" spans="20:20" x14ac:dyDescent="0.2">
      <c r="T1368" t="s">
        <v>1652</v>
      </c>
    </row>
    <row r="1369" spans="20:20" x14ac:dyDescent="0.2">
      <c r="T1369" t="s">
        <v>1653</v>
      </c>
    </row>
    <row r="1370" spans="20:20" x14ac:dyDescent="0.2">
      <c r="T1370" t="s">
        <v>1654</v>
      </c>
    </row>
    <row r="1371" spans="20:20" x14ac:dyDescent="0.2">
      <c r="T1371" t="s">
        <v>1655</v>
      </c>
    </row>
    <row r="1372" spans="20:20" x14ac:dyDescent="0.2">
      <c r="T1372" t="s">
        <v>1656</v>
      </c>
    </row>
    <row r="1373" spans="20:20" x14ac:dyDescent="0.2">
      <c r="T1373" t="s">
        <v>1657</v>
      </c>
    </row>
    <row r="1374" spans="20:20" x14ac:dyDescent="0.2">
      <c r="T1374" t="s">
        <v>1658</v>
      </c>
    </row>
    <row r="1375" spans="20:20" x14ac:dyDescent="0.2">
      <c r="T1375" t="s">
        <v>1659</v>
      </c>
    </row>
    <row r="1376" spans="20:20" x14ac:dyDescent="0.2">
      <c r="T1376" t="s">
        <v>1660</v>
      </c>
    </row>
    <row r="1377" spans="20:20" x14ac:dyDescent="0.2">
      <c r="T1377" t="s">
        <v>1661</v>
      </c>
    </row>
    <row r="1378" spans="20:20" x14ac:dyDescent="0.2">
      <c r="T1378" t="s">
        <v>1662</v>
      </c>
    </row>
    <row r="1379" spans="20:20" x14ac:dyDescent="0.2">
      <c r="T1379" t="s">
        <v>1663</v>
      </c>
    </row>
    <row r="1380" spans="20:20" x14ac:dyDescent="0.2">
      <c r="T1380" t="s">
        <v>1664</v>
      </c>
    </row>
    <row r="1381" spans="20:20" x14ac:dyDescent="0.2">
      <c r="T1381" t="s">
        <v>1665</v>
      </c>
    </row>
    <row r="1382" spans="20:20" x14ac:dyDescent="0.2">
      <c r="T1382" t="s">
        <v>1666</v>
      </c>
    </row>
    <row r="1383" spans="20:20" x14ac:dyDescent="0.2">
      <c r="T1383" t="s">
        <v>1667</v>
      </c>
    </row>
    <row r="1384" spans="20:20" x14ac:dyDescent="0.2">
      <c r="T1384" t="s">
        <v>1668</v>
      </c>
    </row>
    <row r="1385" spans="20:20" x14ac:dyDescent="0.2">
      <c r="T1385" t="s">
        <v>1669</v>
      </c>
    </row>
    <row r="1386" spans="20:20" x14ac:dyDescent="0.2">
      <c r="T1386" t="s">
        <v>1670</v>
      </c>
    </row>
    <row r="1387" spans="20:20" x14ac:dyDescent="0.2">
      <c r="T1387" t="s">
        <v>1671</v>
      </c>
    </row>
    <row r="1388" spans="20:20" x14ac:dyDescent="0.2">
      <c r="T1388" t="s">
        <v>1672</v>
      </c>
    </row>
    <row r="1389" spans="20:20" x14ac:dyDescent="0.2">
      <c r="T1389" t="s">
        <v>1673</v>
      </c>
    </row>
    <row r="1390" spans="20:20" x14ac:dyDescent="0.2">
      <c r="T1390" t="s">
        <v>1674</v>
      </c>
    </row>
    <row r="1391" spans="20:20" x14ac:dyDescent="0.2">
      <c r="T1391" t="s">
        <v>1675</v>
      </c>
    </row>
    <row r="1392" spans="20:20" x14ac:dyDescent="0.2">
      <c r="T1392" t="s">
        <v>1676</v>
      </c>
    </row>
    <row r="1393" spans="20:20" x14ac:dyDescent="0.2">
      <c r="T1393" t="s">
        <v>1677</v>
      </c>
    </row>
    <row r="1394" spans="20:20" x14ac:dyDescent="0.2">
      <c r="T1394" t="s">
        <v>473</v>
      </c>
    </row>
    <row r="1395" spans="20:20" x14ac:dyDescent="0.2">
      <c r="T1395" t="s">
        <v>1678</v>
      </c>
    </row>
    <row r="1396" spans="20:20" x14ac:dyDescent="0.2">
      <c r="T1396" t="s">
        <v>1679</v>
      </c>
    </row>
    <row r="1397" spans="20:20" x14ac:dyDescent="0.2">
      <c r="T1397" t="s">
        <v>1680</v>
      </c>
    </row>
    <row r="1398" spans="20:20" x14ac:dyDescent="0.2">
      <c r="T1398" t="s">
        <v>1681</v>
      </c>
    </row>
    <row r="1399" spans="20:20" x14ac:dyDescent="0.2">
      <c r="T1399" t="s">
        <v>1682</v>
      </c>
    </row>
    <row r="1400" spans="20:20" x14ac:dyDescent="0.2">
      <c r="T1400" t="s">
        <v>1683</v>
      </c>
    </row>
    <row r="1401" spans="20:20" x14ac:dyDescent="0.2">
      <c r="T1401" t="s">
        <v>1684</v>
      </c>
    </row>
    <row r="1402" spans="20:20" x14ac:dyDescent="0.2">
      <c r="T1402" t="s">
        <v>1685</v>
      </c>
    </row>
    <row r="1403" spans="20:20" x14ac:dyDescent="0.2">
      <c r="T1403" t="s">
        <v>1686</v>
      </c>
    </row>
    <row r="1404" spans="20:20" x14ac:dyDescent="0.2">
      <c r="T1404" t="s">
        <v>1687</v>
      </c>
    </row>
    <row r="1405" spans="20:20" x14ac:dyDescent="0.2">
      <c r="T1405" t="s">
        <v>1688</v>
      </c>
    </row>
    <row r="1406" spans="20:20" x14ac:dyDescent="0.2">
      <c r="T1406" t="s">
        <v>1689</v>
      </c>
    </row>
    <row r="1407" spans="20:20" x14ac:dyDescent="0.2">
      <c r="T1407" t="s">
        <v>1690</v>
      </c>
    </row>
    <row r="1408" spans="20:20" x14ac:dyDescent="0.2">
      <c r="T1408" t="s">
        <v>1691</v>
      </c>
    </row>
    <row r="1409" spans="20:20" x14ac:dyDescent="0.2">
      <c r="T1409" t="s">
        <v>1692</v>
      </c>
    </row>
    <row r="1410" spans="20:20" x14ac:dyDescent="0.2">
      <c r="T1410" t="s">
        <v>1693</v>
      </c>
    </row>
    <row r="1411" spans="20:20" x14ac:dyDescent="0.2">
      <c r="T1411" t="s">
        <v>1694</v>
      </c>
    </row>
    <row r="1412" spans="20:20" x14ac:dyDescent="0.2">
      <c r="T1412" t="s">
        <v>1695</v>
      </c>
    </row>
    <row r="1413" spans="20:20" x14ac:dyDescent="0.2">
      <c r="T1413" t="s">
        <v>1696</v>
      </c>
    </row>
    <row r="1414" spans="20:20" x14ac:dyDescent="0.2">
      <c r="T1414" t="s">
        <v>1697</v>
      </c>
    </row>
    <row r="1415" spans="20:20" x14ac:dyDescent="0.2">
      <c r="T1415" t="s">
        <v>1698</v>
      </c>
    </row>
    <row r="1416" spans="20:20" x14ac:dyDescent="0.2">
      <c r="T1416" t="s">
        <v>1699</v>
      </c>
    </row>
    <row r="1417" spans="20:20" x14ac:dyDescent="0.2">
      <c r="T1417" t="s">
        <v>1700</v>
      </c>
    </row>
    <row r="1418" spans="20:20" x14ac:dyDescent="0.2">
      <c r="T1418" t="s">
        <v>1701</v>
      </c>
    </row>
    <row r="1419" spans="20:20" x14ac:dyDescent="0.2">
      <c r="T1419" t="s">
        <v>1702</v>
      </c>
    </row>
    <row r="1420" spans="20:20" x14ac:dyDescent="0.2">
      <c r="T1420" t="s">
        <v>1703</v>
      </c>
    </row>
    <row r="1421" spans="20:20" x14ac:dyDescent="0.2">
      <c r="T1421" t="s">
        <v>1704</v>
      </c>
    </row>
    <row r="1422" spans="20:20" x14ac:dyDescent="0.2">
      <c r="T1422" t="s">
        <v>1705</v>
      </c>
    </row>
    <row r="1423" spans="20:20" x14ac:dyDescent="0.2">
      <c r="T1423" t="s">
        <v>1706</v>
      </c>
    </row>
    <row r="1424" spans="20:20" x14ac:dyDescent="0.2">
      <c r="T1424" t="s">
        <v>1707</v>
      </c>
    </row>
    <row r="1425" spans="20:20" x14ac:dyDescent="0.2">
      <c r="T1425" t="s">
        <v>1708</v>
      </c>
    </row>
    <row r="1426" spans="20:20" x14ac:dyDescent="0.2">
      <c r="T1426" t="s">
        <v>1709</v>
      </c>
    </row>
    <row r="1427" spans="20:20" x14ac:dyDescent="0.2">
      <c r="T1427" t="s">
        <v>1710</v>
      </c>
    </row>
    <row r="1428" spans="20:20" x14ac:dyDescent="0.2">
      <c r="T1428" t="s">
        <v>1711</v>
      </c>
    </row>
    <row r="1429" spans="20:20" x14ac:dyDescent="0.2">
      <c r="T1429" t="s">
        <v>1712</v>
      </c>
    </row>
    <row r="1430" spans="20:20" x14ac:dyDescent="0.2">
      <c r="T1430" t="s">
        <v>1713</v>
      </c>
    </row>
    <row r="1431" spans="20:20" x14ac:dyDescent="0.2">
      <c r="T1431" t="s">
        <v>1714</v>
      </c>
    </row>
    <row r="1432" spans="20:20" x14ac:dyDescent="0.2">
      <c r="T1432" t="s">
        <v>1715</v>
      </c>
    </row>
    <row r="1433" spans="20:20" x14ac:dyDescent="0.2">
      <c r="T1433" t="s">
        <v>1716</v>
      </c>
    </row>
    <row r="1434" spans="20:20" x14ac:dyDescent="0.2">
      <c r="T1434" t="s">
        <v>1717</v>
      </c>
    </row>
    <row r="1435" spans="20:20" x14ac:dyDescent="0.2">
      <c r="T1435" t="s">
        <v>1718</v>
      </c>
    </row>
    <row r="1436" spans="20:20" x14ac:dyDescent="0.2">
      <c r="T1436" t="s">
        <v>1719</v>
      </c>
    </row>
    <row r="1437" spans="20:20" x14ac:dyDescent="0.2">
      <c r="T1437" t="s">
        <v>1720</v>
      </c>
    </row>
    <row r="1438" spans="20:20" x14ac:dyDescent="0.2">
      <c r="T1438" t="s">
        <v>1721</v>
      </c>
    </row>
    <row r="1439" spans="20:20" x14ac:dyDescent="0.2">
      <c r="T1439" t="s">
        <v>1722</v>
      </c>
    </row>
    <row r="1440" spans="20:20" x14ac:dyDescent="0.2">
      <c r="T1440" t="s">
        <v>1723</v>
      </c>
    </row>
    <row r="1441" spans="20:20" x14ac:dyDescent="0.2">
      <c r="T1441" t="s">
        <v>1724</v>
      </c>
    </row>
    <row r="1442" spans="20:20" x14ac:dyDescent="0.2">
      <c r="T1442" t="s">
        <v>1725</v>
      </c>
    </row>
    <row r="1443" spans="20:20" x14ac:dyDescent="0.2">
      <c r="T1443" t="s">
        <v>1726</v>
      </c>
    </row>
    <row r="1444" spans="20:20" x14ac:dyDescent="0.2">
      <c r="T1444" t="s">
        <v>1727</v>
      </c>
    </row>
    <row r="1445" spans="20:20" x14ac:dyDescent="0.2">
      <c r="T1445" t="s">
        <v>1728</v>
      </c>
    </row>
    <row r="1446" spans="20:20" x14ac:dyDescent="0.2">
      <c r="T1446" t="s">
        <v>1729</v>
      </c>
    </row>
    <row r="1447" spans="20:20" x14ac:dyDescent="0.2">
      <c r="T1447" t="s">
        <v>1730</v>
      </c>
    </row>
    <row r="1448" spans="20:20" x14ac:dyDescent="0.2">
      <c r="T1448" t="s">
        <v>1731</v>
      </c>
    </row>
    <row r="1449" spans="20:20" x14ac:dyDescent="0.2">
      <c r="T1449" t="s">
        <v>1732</v>
      </c>
    </row>
    <row r="1450" spans="20:20" x14ac:dyDescent="0.2">
      <c r="T1450" t="s">
        <v>1733</v>
      </c>
    </row>
    <row r="1451" spans="20:20" x14ac:dyDescent="0.2">
      <c r="T1451" t="s">
        <v>1734</v>
      </c>
    </row>
    <row r="1452" spans="20:20" x14ac:dyDescent="0.2">
      <c r="T1452" t="s">
        <v>1735</v>
      </c>
    </row>
    <row r="1453" spans="20:20" x14ac:dyDescent="0.2">
      <c r="T1453" t="s">
        <v>1736</v>
      </c>
    </row>
    <row r="1454" spans="20:20" x14ac:dyDescent="0.2">
      <c r="T1454" t="s">
        <v>1737</v>
      </c>
    </row>
    <row r="1455" spans="20:20" x14ac:dyDescent="0.2">
      <c r="T1455" t="s">
        <v>1738</v>
      </c>
    </row>
    <row r="1456" spans="20:20" x14ac:dyDescent="0.2">
      <c r="T1456" t="s">
        <v>1739</v>
      </c>
    </row>
    <row r="1457" spans="20:20" x14ac:dyDescent="0.2">
      <c r="T1457" t="s">
        <v>1740</v>
      </c>
    </row>
    <row r="1458" spans="20:20" x14ac:dyDescent="0.2">
      <c r="T1458" t="s">
        <v>1741</v>
      </c>
    </row>
    <row r="1459" spans="20:20" x14ac:dyDescent="0.2">
      <c r="T1459" t="s">
        <v>1742</v>
      </c>
    </row>
    <row r="1460" spans="20:20" x14ac:dyDescent="0.2">
      <c r="T1460" t="s">
        <v>1743</v>
      </c>
    </row>
    <row r="1461" spans="20:20" x14ac:dyDescent="0.2">
      <c r="T1461" t="s">
        <v>1744</v>
      </c>
    </row>
    <row r="1462" spans="20:20" x14ac:dyDescent="0.2">
      <c r="T1462" t="s">
        <v>1745</v>
      </c>
    </row>
    <row r="1463" spans="20:20" x14ac:dyDescent="0.2">
      <c r="T1463" t="s">
        <v>1746</v>
      </c>
    </row>
    <row r="1464" spans="20:20" x14ac:dyDescent="0.2">
      <c r="T1464" t="s">
        <v>1747</v>
      </c>
    </row>
    <row r="1465" spans="20:20" x14ac:dyDescent="0.2">
      <c r="T1465" t="s">
        <v>1748</v>
      </c>
    </row>
    <row r="1466" spans="20:20" x14ac:dyDescent="0.2">
      <c r="T1466" t="s">
        <v>1749</v>
      </c>
    </row>
    <row r="1467" spans="20:20" x14ac:dyDescent="0.2">
      <c r="T1467" t="s">
        <v>1750</v>
      </c>
    </row>
    <row r="1468" spans="20:20" x14ac:dyDescent="0.2">
      <c r="T1468" t="s">
        <v>1751</v>
      </c>
    </row>
    <row r="1469" spans="20:20" x14ac:dyDescent="0.2">
      <c r="T1469" t="s">
        <v>1752</v>
      </c>
    </row>
    <row r="1470" spans="20:20" x14ac:dyDescent="0.2">
      <c r="T1470" t="s">
        <v>1753</v>
      </c>
    </row>
    <row r="1471" spans="20:20" x14ac:dyDescent="0.2">
      <c r="T1471" t="s">
        <v>1754</v>
      </c>
    </row>
    <row r="1472" spans="20:20" x14ac:dyDescent="0.2">
      <c r="T1472" t="s">
        <v>1755</v>
      </c>
    </row>
    <row r="1473" spans="20:20" x14ac:dyDescent="0.2">
      <c r="T1473" t="s">
        <v>1756</v>
      </c>
    </row>
    <row r="1474" spans="20:20" x14ac:dyDescent="0.2">
      <c r="T1474" t="s">
        <v>1757</v>
      </c>
    </row>
    <row r="1475" spans="20:20" x14ac:dyDescent="0.2">
      <c r="T1475" t="s">
        <v>1758</v>
      </c>
    </row>
    <row r="1476" spans="20:20" x14ac:dyDescent="0.2">
      <c r="T1476" t="s">
        <v>1759</v>
      </c>
    </row>
    <row r="1477" spans="20:20" x14ac:dyDescent="0.2">
      <c r="T1477" t="s">
        <v>1760</v>
      </c>
    </row>
    <row r="1478" spans="20:20" x14ac:dyDescent="0.2">
      <c r="T1478" t="s">
        <v>1761</v>
      </c>
    </row>
    <row r="1479" spans="20:20" x14ac:dyDescent="0.2">
      <c r="T1479" t="s">
        <v>1762</v>
      </c>
    </row>
    <row r="1480" spans="20:20" x14ac:dyDescent="0.2">
      <c r="T1480" t="s">
        <v>1763</v>
      </c>
    </row>
    <row r="1481" spans="20:20" x14ac:dyDescent="0.2">
      <c r="T1481" t="s">
        <v>1764</v>
      </c>
    </row>
    <row r="1482" spans="20:20" x14ac:dyDescent="0.2">
      <c r="T1482" t="s">
        <v>1765</v>
      </c>
    </row>
    <row r="1483" spans="20:20" x14ac:dyDescent="0.2">
      <c r="T1483" t="s">
        <v>1766</v>
      </c>
    </row>
    <row r="1484" spans="20:20" x14ac:dyDescent="0.2">
      <c r="T1484" t="s">
        <v>1767</v>
      </c>
    </row>
    <row r="1485" spans="20:20" x14ac:dyDescent="0.2">
      <c r="T1485" t="s">
        <v>1768</v>
      </c>
    </row>
    <row r="1486" spans="20:20" x14ac:dyDescent="0.2">
      <c r="T1486" t="s">
        <v>1769</v>
      </c>
    </row>
    <row r="1487" spans="20:20" x14ac:dyDescent="0.2">
      <c r="T1487" t="s">
        <v>1770</v>
      </c>
    </row>
    <row r="1488" spans="20:20" x14ac:dyDescent="0.2">
      <c r="T1488" t="s">
        <v>1771</v>
      </c>
    </row>
    <row r="1489" spans="20:20" x14ac:dyDescent="0.2">
      <c r="T1489" t="s">
        <v>1772</v>
      </c>
    </row>
    <row r="1490" spans="20:20" x14ac:dyDescent="0.2">
      <c r="T1490" t="s">
        <v>1773</v>
      </c>
    </row>
    <row r="1491" spans="20:20" x14ac:dyDescent="0.2">
      <c r="T1491" t="s">
        <v>1774</v>
      </c>
    </row>
    <row r="1492" spans="20:20" x14ac:dyDescent="0.2">
      <c r="T1492" t="s">
        <v>1775</v>
      </c>
    </row>
    <row r="1493" spans="20:20" x14ac:dyDescent="0.2">
      <c r="T1493" t="s">
        <v>1776</v>
      </c>
    </row>
    <row r="1494" spans="20:20" x14ac:dyDescent="0.2">
      <c r="T1494" t="s">
        <v>1777</v>
      </c>
    </row>
    <row r="1495" spans="20:20" x14ac:dyDescent="0.2">
      <c r="T1495" t="s">
        <v>1778</v>
      </c>
    </row>
    <row r="1496" spans="20:20" x14ac:dyDescent="0.2">
      <c r="T1496" t="s">
        <v>1779</v>
      </c>
    </row>
    <row r="1497" spans="20:20" x14ac:dyDescent="0.2">
      <c r="T1497" t="s">
        <v>1780</v>
      </c>
    </row>
    <row r="1498" spans="20:20" x14ac:dyDescent="0.2">
      <c r="T1498" t="s">
        <v>1781</v>
      </c>
    </row>
    <row r="1499" spans="20:20" x14ac:dyDescent="0.2">
      <c r="T1499" t="s">
        <v>863</v>
      </c>
    </row>
    <row r="1500" spans="20:20" x14ac:dyDescent="0.2">
      <c r="T1500" t="s">
        <v>1782</v>
      </c>
    </row>
    <row r="1501" spans="20:20" x14ac:dyDescent="0.2">
      <c r="T1501" t="s">
        <v>1783</v>
      </c>
    </row>
    <row r="1502" spans="20:20" x14ac:dyDescent="0.2">
      <c r="T1502" t="s">
        <v>1784</v>
      </c>
    </row>
    <row r="1503" spans="20:20" x14ac:dyDescent="0.2">
      <c r="T1503" t="s">
        <v>1785</v>
      </c>
    </row>
    <row r="1504" spans="20:20" x14ac:dyDescent="0.2">
      <c r="T1504" t="s">
        <v>1786</v>
      </c>
    </row>
    <row r="1505" spans="20:20" x14ac:dyDescent="0.2">
      <c r="T1505" t="s">
        <v>1787</v>
      </c>
    </row>
    <row r="1506" spans="20:20" x14ac:dyDescent="0.2">
      <c r="T1506" t="s">
        <v>1788</v>
      </c>
    </row>
    <row r="1507" spans="20:20" x14ac:dyDescent="0.2">
      <c r="T1507" t="s">
        <v>1789</v>
      </c>
    </row>
    <row r="1508" spans="20:20" x14ac:dyDescent="0.2">
      <c r="T1508" t="s">
        <v>496</v>
      </c>
    </row>
    <row r="1509" spans="20:20" x14ac:dyDescent="0.2">
      <c r="T1509" t="s">
        <v>1790</v>
      </c>
    </row>
    <row r="1510" spans="20:20" x14ac:dyDescent="0.2">
      <c r="T1510" t="s">
        <v>1791</v>
      </c>
    </row>
    <row r="1511" spans="20:20" x14ac:dyDescent="0.2">
      <c r="T1511" t="s">
        <v>1792</v>
      </c>
    </row>
    <row r="1512" spans="20:20" x14ac:dyDescent="0.2">
      <c r="T1512" t="s">
        <v>1793</v>
      </c>
    </row>
    <row r="1513" spans="20:20" x14ac:dyDescent="0.2">
      <c r="T1513" t="s">
        <v>1794</v>
      </c>
    </row>
    <row r="1514" spans="20:20" x14ac:dyDescent="0.2">
      <c r="T1514" t="s">
        <v>1795</v>
      </c>
    </row>
    <row r="1515" spans="20:20" x14ac:dyDescent="0.2">
      <c r="T1515" t="s">
        <v>1796</v>
      </c>
    </row>
    <row r="1516" spans="20:20" x14ac:dyDescent="0.2">
      <c r="T1516" t="s">
        <v>1797</v>
      </c>
    </row>
    <row r="1517" spans="20:20" x14ac:dyDescent="0.2">
      <c r="T1517" t="s">
        <v>1798</v>
      </c>
    </row>
    <row r="1518" spans="20:20" x14ac:dyDescent="0.2">
      <c r="T1518" t="s">
        <v>1799</v>
      </c>
    </row>
    <row r="1519" spans="20:20" x14ac:dyDescent="0.2">
      <c r="T1519" t="s">
        <v>1800</v>
      </c>
    </row>
    <row r="1520" spans="20:20" x14ac:dyDescent="0.2">
      <c r="T1520" t="s">
        <v>1801</v>
      </c>
    </row>
    <row r="1521" spans="20:20" x14ac:dyDescent="0.2">
      <c r="T1521" t="s">
        <v>1802</v>
      </c>
    </row>
    <row r="1522" spans="20:20" x14ac:dyDescent="0.2">
      <c r="T1522" t="s">
        <v>472</v>
      </c>
    </row>
    <row r="1523" spans="20:20" x14ac:dyDescent="0.2">
      <c r="T1523" t="s">
        <v>1803</v>
      </c>
    </row>
    <row r="1524" spans="20:20" x14ac:dyDescent="0.2">
      <c r="T1524" t="s">
        <v>1804</v>
      </c>
    </row>
    <row r="1525" spans="20:20" x14ac:dyDescent="0.2">
      <c r="T1525" t="s">
        <v>1805</v>
      </c>
    </row>
    <row r="1526" spans="20:20" x14ac:dyDescent="0.2">
      <c r="T1526" t="s">
        <v>1806</v>
      </c>
    </row>
    <row r="1527" spans="20:20" x14ac:dyDescent="0.2">
      <c r="T1527" t="s">
        <v>1807</v>
      </c>
    </row>
    <row r="1528" spans="20:20" x14ac:dyDescent="0.2">
      <c r="T1528" t="s">
        <v>1808</v>
      </c>
    </row>
    <row r="1529" spans="20:20" x14ac:dyDescent="0.2">
      <c r="T1529" t="s">
        <v>1809</v>
      </c>
    </row>
    <row r="1530" spans="20:20" x14ac:dyDescent="0.2">
      <c r="T1530" t="s">
        <v>1810</v>
      </c>
    </row>
    <row r="1531" spans="20:20" x14ac:dyDescent="0.2">
      <c r="T1531" t="s">
        <v>1811</v>
      </c>
    </row>
    <row r="1532" spans="20:20" x14ac:dyDescent="0.2">
      <c r="T1532" t="s">
        <v>1812</v>
      </c>
    </row>
    <row r="1533" spans="20:20" x14ac:dyDescent="0.2">
      <c r="T1533" t="s">
        <v>1813</v>
      </c>
    </row>
    <row r="1534" spans="20:20" x14ac:dyDescent="0.2">
      <c r="T1534" t="s">
        <v>1814</v>
      </c>
    </row>
    <row r="1535" spans="20:20" x14ac:dyDescent="0.2">
      <c r="T1535" t="s">
        <v>1815</v>
      </c>
    </row>
    <row r="1536" spans="20:20" x14ac:dyDescent="0.2">
      <c r="T1536" t="s">
        <v>1816</v>
      </c>
    </row>
    <row r="1537" spans="20:20" x14ac:dyDescent="0.2">
      <c r="T1537" t="s">
        <v>1817</v>
      </c>
    </row>
    <row r="1538" spans="20:20" x14ac:dyDescent="0.2">
      <c r="T1538" t="s">
        <v>1818</v>
      </c>
    </row>
    <row r="1539" spans="20:20" x14ac:dyDescent="0.2">
      <c r="T1539" t="s">
        <v>1819</v>
      </c>
    </row>
    <row r="1540" spans="20:20" x14ac:dyDescent="0.2">
      <c r="T1540" t="s">
        <v>1820</v>
      </c>
    </row>
    <row r="1541" spans="20:20" x14ac:dyDescent="0.2">
      <c r="T1541" t="s">
        <v>1821</v>
      </c>
    </row>
    <row r="1542" spans="20:20" x14ac:dyDescent="0.2">
      <c r="T1542" t="s">
        <v>1822</v>
      </c>
    </row>
    <row r="1543" spans="20:20" x14ac:dyDescent="0.2">
      <c r="T1543" t="s">
        <v>1823</v>
      </c>
    </row>
    <row r="1544" spans="20:20" x14ac:dyDescent="0.2">
      <c r="T1544" t="s">
        <v>1824</v>
      </c>
    </row>
    <row r="1545" spans="20:20" x14ac:dyDescent="0.2">
      <c r="T1545" t="s">
        <v>1825</v>
      </c>
    </row>
    <row r="1546" spans="20:20" x14ac:dyDescent="0.2">
      <c r="T1546" t="s">
        <v>1826</v>
      </c>
    </row>
    <row r="1547" spans="20:20" x14ac:dyDescent="0.2">
      <c r="T1547" t="s">
        <v>1827</v>
      </c>
    </row>
    <row r="1548" spans="20:20" x14ac:dyDescent="0.2">
      <c r="T1548" t="s">
        <v>1828</v>
      </c>
    </row>
    <row r="1549" spans="20:20" x14ac:dyDescent="0.2">
      <c r="T1549" t="s">
        <v>1829</v>
      </c>
    </row>
    <row r="1550" spans="20:20" x14ac:dyDescent="0.2">
      <c r="T1550" t="s">
        <v>1830</v>
      </c>
    </row>
    <row r="1551" spans="20:20" x14ac:dyDescent="0.2">
      <c r="T1551" t="s">
        <v>1831</v>
      </c>
    </row>
    <row r="1552" spans="20:20" x14ac:dyDescent="0.2">
      <c r="T1552" t="s">
        <v>1832</v>
      </c>
    </row>
    <row r="1553" spans="20:20" x14ac:dyDescent="0.2">
      <c r="T1553" t="s">
        <v>1833</v>
      </c>
    </row>
    <row r="1554" spans="20:20" x14ac:dyDescent="0.2">
      <c r="T1554" t="s">
        <v>1834</v>
      </c>
    </row>
    <row r="1555" spans="20:20" x14ac:dyDescent="0.2">
      <c r="T1555" t="s">
        <v>1835</v>
      </c>
    </row>
    <row r="1556" spans="20:20" x14ac:dyDescent="0.2">
      <c r="T1556" t="s">
        <v>1836</v>
      </c>
    </row>
    <row r="1557" spans="20:20" x14ac:dyDescent="0.2">
      <c r="T1557" t="s">
        <v>1837</v>
      </c>
    </row>
    <row r="1558" spans="20:20" x14ac:dyDescent="0.2">
      <c r="T1558" t="s">
        <v>1838</v>
      </c>
    </row>
    <row r="1559" spans="20:20" x14ac:dyDescent="0.2">
      <c r="T1559" t="s">
        <v>1839</v>
      </c>
    </row>
    <row r="1560" spans="20:20" x14ac:dyDescent="0.2">
      <c r="T1560" t="s">
        <v>1840</v>
      </c>
    </row>
    <row r="1561" spans="20:20" x14ac:dyDescent="0.2">
      <c r="T1561" t="s">
        <v>1841</v>
      </c>
    </row>
    <row r="1562" spans="20:20" x14ac:dyDescent="0.2">
      <c r="T1562" t="s">
        <v>1842</v>
      </c>
    </row>
    <row r="1563" spans="20:20" x14ac:dyDescent="0.2">
      <c r="T1563" t="s">
        <v>1843</v>
      </c>
    </row>
    <row r="1564" spans="20:20" x14ac:dyDescent="0.2">
      <c r="T1564" t="s">
        <v>1844</v>
      </c>
    </row>
    <row r="1565" spans="20:20" x14ac:dyDescent="0.2">
      <c r="T1565" t="s">
        <v>1845</v>
      </c>
    </row>
    <row r="1566" spans="20:20" x14ac:dyDescent="0.2">
      <c r="T1566" t="s">
        <v>1846</v>
      </c>
    </row>
    <row r="1567" spans="20:20" x14ac:dyDescent="0.2">
      <c r="T1567" t="s">
        <v>1847</v>
      </c>
    </row>
    <row r="1568" spans="20:20" x14ac:dyDescent="0.2">
      <c r="T1568" t="s">
        <v>1848</v>
      </c>
    </row>
    <row r="1569" spans="20:20" x14ac:dyDescent="0.2">
      <c r="T1569" t="s">
        <v>1849</v>
      </c>
    </row>
    <row r="1570" spans="20:20" x14ac:dyDescent="0.2">
      <c r="T1570" t="s">
        <v>1850</v>
      </c>
    </row>
    <row r="1571" spans="20:20" x14ac:dyDescent="0.2">
      <c r="T1571" t="s">
        <v>1851</v>
      </c>
    </row>
    <row r="1572" spans="20:20" x14ac:dyDescent="0.2">
      <c r="T1572" t="s">
        <v>1852</v>
      </c>
    </row>
    <row r="1573" spans="20:20" x14ac:dyDescent="0.2">
      <c r="T1573" t="s">
        <v>1853</v>
      </c>
    </row>
    <row r="1574" spans="20:20" x14ac:dyDescent="0.2">
      <c r="T1574" t="s">
        <v>1854</v>
      </c>
    </row>
    <row r="1575" spans="20:20" x14ac:dyDescent="0.2">
      <c r="T1575" t="s">
        <v>1855</v>
      </c>
    </row>
    <row r="1576" spans="20:20" x14ac:dyDescent="0.2">
      <c r="T1576" t="s">
        <v>1856</v>
      </c>
    </row>
    <row r="1577" spans="20:20" x14ac:dyDescent="0.2">
      <c r="T1577" t="s">
        <v>1857</v>
      </c>
    </row>
    <row r="1578" spans="20:20" x14ac:dyDescent="0.2">
      <c r="T1578" t="s">
        <v>1858</v>
      </c>
    </row>
    <row r="1579" spans="20:20" x14ac:dyDescent="0.2">
      <c r="T1579" t="s">
        <v>1859</v>
      </c>
    </row>
    <row r="1580" spans="20:20" x14ac:dyDescent="0.2">
      <c r="T1580" t="s">
        <v>1860</v>
      </c>
    </row>
    <row r="1581" spans="20:20" x14ac:dyDescent="0.2">
      <c r="T1581" t="s">
        <v>1861</v>
      </c>
    </row>
    <row r="1582" spans="20:20" x14ac:dyDescent="0.2">
      <c r="T1582" t="s">
        <v>1862</v>
      </c>
    </row>
    <row r="1583" spans="20:20" x14ac:dyDescent="0.2">
      <c r="T1583" t="s">
        <v>1863</v>
      </c>
    </row>
    <row r="1584" spans="20:20" x14ac:dyDescent="0.2">
      <c r="T1584" t="s">
        <v>1864</v>
      </c>
    </row>
    <row r="1585" spans="20:20" x14ac:dyDescent="0.2">
      <c r="T1585" t="s">
        <v>1865</v>
      </c>
    </row>
    <row r="1586" spans="20:20" x14ac:dyDescent="0.2">
      <c r="T1586" t="s">
        <v>1866</v>
      </c>
    </row>
    <row r="1587" spans="20:20" x14ac:dyDescent="0.2">
      <c r="T1587" t="s">
        <v>1867</v>
      </c>
    </row>
    <row r="1588" spans="20:20" x14ac:dyDescent="0.2">
      <c r="T1588" t="s">
        <v>1868</v>
      </c>
    </row>
    <row r="1589" spans="20:20" x14ac:dyDescent="0.2">
      <c r="T1589" t="s">
        <v>1869</v>
      </c>
    </row>
    <row r="1590" spans="20:20" x14ac:dyDescent="0.2">
      <c r="T1590" t="s">
        <v>1870</v>
      </c>
    </row>
    <row r="1591" spans="20:20" x14ac:dyDescent="0.2">
      <c r="T1591" t="s">
        <v>1871</v>
      </c>
    </row>
    <row r="1592" spans="20:20" x14ac:dyDescent="0.2">
      <c r="T1592" t="s">
        <v>1872</v>
      </c>
    </row>
    <row r="1593" spans="20:20" x14ac:dyDescent="0.2">
      <c r="T1593" t="s">
        <v>1873</v>
      </c>
    </row>
    <row r="1594" spans="20:20" x14ac:dyDescent="0.2">
      <c r="T1594" t="s">
        <v>1874</v>
      </c>
    </row>
    <row r="1595" spans="20:20" x14ac:dyDescent="0.2">
      <c r="T1595" t="s">
        <v>1875</v>
      </c>
    </row>
    <row r="1596" spans="20:20" x14ac:dyDescent="0.2">
      <c r="T1596" t="s">
        <v>1876</v>
      </c>
    </row>
    <row r="1597" spans="20:20" x14ac:dyDescent="0.2">
      <c r="T1597" t="s">
        <v>1877</v>
      </c>
    </row>
    <row r="1598" spans="20:20" x14ac:dyDescent="0.2">
      <c r="T1598" t="s">
        <v>1878</v>
      </c>
    </row>
    <row r="1599" spans="20:20" x14ac:dyDescent="0.2">
      <c r="T1599" t="s">
        <v>1879</v>
      </c>
    </row>
    <row r="1600" spans="20:20" x14ac:dyDescent="0.2">
      <c r="T1600" t="s">
        <v>1880</v>
      </c>
    </row>
    <row r="1601" spans="20:20" x14ac:dyDescent="0.2">
      <c r="T1601" t="s">
        <v>1881</v>
      </c>
    </row>
    <row r="1602" spans="20:20" x14ac:dyDescent="0.2">
      <c r="T1602" t="s">
        <v>764</v>
      </c>
    </row>
    <row r="1603" spans="20:20" x14ac:dyDescent="0.2">
      <c r="T1603" t="s">
        <v>1882</v>
      </c>
    </row>
    <row r="1604" spans="20:20" x14ac:dyDescent="0.2">
      <c r="T1604" t="s">
        <v>1883</v>
      </c>
    </row>
    <row r="1605" spans="20:20" x14ac:dyDescent="0.2">
      <c r="T1605" t="s">
        <v>1884</v>
      </c>
    </row>
    <row r="1606" spans="20:20" x14ac:dyDescent="0.2">
      <c r="T1606" t="s">
        <v>1885</v>
      </c>
    </row>
    <row r="1607" spans="20:20" x14ac:dyDescent="0.2">
      <c r="T1607" t="s">
        <v>1886</v>
      </c>
    </row>
    <row r="1608" spans="20:20" x14ac:dyDescent="0.2">
      <c r="T1608" t="s">
        <v>1887</v>
      </c>
    </row>
    <row r="1609" spans="20:20" x14ac:dyDescent="0.2">
      <c r="T1609" t="s">
        <v>1888</v>
      </c>
    </row>
    <row r="1610" spans="20:20" x14ac:dyDescent="0.2">
      <c r="T1610" t="s">
        <v>497</v>
      </c>
    </row>
    <row r="1611" spans="20:20" x14ac:dyDescent="0.2">
      <c r="T1611" t="s">
        <v>498</v>
      </c>
    </row>
    <row r="1612" spans="20:20" x14ac:dyDescent="0.2">
      <c r="T1612" t="s">
        <v>1889</v>
      </c>
    </row>
    <row r="1613" spans="20:20" x14ac:dyDescent="0.2">
      <c r="T1613" t="s">
        <v>1890</v>
      </c>
    </row>
    <row r="1614" spans="20:20" x14ac:dyDescent="0.2">
      <c r="T1614" t="s">
        <v>1891</v>
      </c>
    </row>
    <row r="1615" spans="20:20" x14ac:dyDescent="0.2">
      <c r="T1615" t="s">
        <v>1892</v>
      </c>
    </row>
    <row r="1616" spans="20:20" x14ac:dyDescent="0.2">
      <c r="T1616" t="s">
        <v>1893</v>
      </c>
    </row>
    <row r="1617" spans="20:20" x14ac:dyDescent="0.2">
      <c r="T1617" t="s">
        <v>1894</v>
      </c>
    </row>
    <row r="1618" spans="20:20" x14ac:dyDescent="0.2">
      <c r="T1618" t="s">
        <v>497</v>
      </c>
    </row>
    <row r="1619" spans="20:20" x14ac:dyDescent="0.2">
      <c r="T1619" t="s">
        <v>498</v>
      </c>
    </row>
    <row r="1620" spans="20:20" x14ac:dyDescent="0.2">
      <c r="T1620" t="s">
        <v>1895</v>
      </c>
    </row>
    <row r="1621" spans="20:20" x14ac:dyDescent="0.2">
      <c r="T1621" t="s">
        <v>1896</v>
      </c>
    </row>
    <row r="1622" spans="20:20" x14ac:dyDescent="0.2">
      <c r="T1622" t="s">
        <v>1897</v>
      </c>
    </row>
    <row r="1623" spans="20:20" x14ac:dyDescent="0.2">
      <c r="T1623" t="s">
        <v>1898</v>
      </c>
    </row>
    <row r="1624" spans="20:20" x14ac:dyDescent="0.2">
      <c r="T1624" t="s">
        <v>1899</v>
      </c>
    </row>
    <row r="1625" spans="20:20" x14ac:dyDescent="0.2">
      <c r="T1625" t="s">
        <v>1900</v>
      </c>
    </row>
    <row r="1626" spans="20:20" x14ac:dyDescent="0.2">
      <c r="T1626" t="s">
        <v>1901</v>
      </c>
    </row>
    <row r="1627" spans="20:20" x14ac:dyDescent="0.2">
      <c r="T1627" t="s">
        <v>1902</v>
      </c>
    </row>
    <row r="1628" spans="20:20" x14ac:dyDescent="0.2">
      <c r="T1628" t="s">
        <v>1903</v>
      </c>
    </row>
    <row r="1629" spans="20:20" x14ac:dyDescent="0.2">
      <c r="T1629" t="s">
        <v>762</v>
      </c>
    </row>
    <row r="1630" spans="20:20" x14ac:dyDescent="0.2">
      <c r="T1630" t="s">
        <v>1904</v>
      </c>
    </row>
    <row r="1631" spans="20:20" x14ac:dyDescent="0.2">
      <c r="T1631" t="s">
        <v>1905</v>
      </c>
    </row>
    <row r="1632" spans="20:20" x14ac:dyDescent="0.2">
      <c r="T1632" t="s">
        <v>1906</v>
      </c>
    </row>
    <row r="1633" spans="20:20" x14ac:dyDescent="0.2">
      <c r="T1633" t="s">
        <v>1907</v>
      </c>
    </row>
    <row r="1634" spans="20:20" x14ac:dyDescent="0.2">
      <c r="T1634" t="s">
        <v>497</v>
      </c>
    </row>
    <row r="1635" spans="20:20" x14ac:dyDescent="0.2">
      <c r="T1635" t="s">
        <v>498</v>
      </c>
    </row>
    <row r="1636" spans="20:20" x14ac:dyDescent="0.2">
      <c r="T1636" t="s">
        <v>1908</v>
      </c>
    </row>
    <row r="1637" spans="20:20" x14ac:dyDescent="0.2">
      <c r="T1637" t="s">
        <v>1909</v>
      </c>
    </row>
    <row r="1638" spans="20:20" x14ac:dyDescent="0.2">
      <c r="T1638" t="s">
        <v>1910</v>
      </c>
    </row>
    <row r="1639" spans="20:20" x14ac:dyDescent="0.2">
      <c r="T1639" t="s">
        <v>1911</v>
      </c>
    </row>
    <row r="1640" spans="20:20" x14ac:dyDescent="0.2">
      <c r="T1640" t="s">
        <v>1912</v>
      </c>
    </row>
    <row r="1641" spans="20:20" x14ac:dyDescent="0.2">
      <c r="T1641" t="s">
        <v>1913</v>
      </c>
    </row>
    <row r="1642" spans="20:20" x14ac:dyDescent="0.2">
      <c r="T1642" t="s">
        <v>1914</v>
      </c>
    </row>
    <row r="1643" spans="20:20" x14ac:dyDescent="0.2">
      <c r="T1643" t="s">
        <v>1915</v>
      </c>
    </row>
    <row r="1644" spans="20:20" x14ac:dyDescent="0.2">
      <c r="T1644" t="s">
        <v>1916</v>
      </c>
    </row>
    <row r="1645" spans="20:20" x14ac:dyDescent="0.2">
      <c r="T1645" t="s">
        <v>1917</v>
      </c>
    </row>
    <row r="1646" spans="20:20" x14ac:dyDescent="0.2">
      <c r="T1646" t="s">
        <v>1918</v>
      </c>
    </row>
    <row r="1647" spans="20:20" x14ac:dyDescent="0.2">
      <c r="T1647" t="s">
        <v>1919</v>
      </c>
    </row>
    <row r="1648" spans="20:20" x14ac:dyDescent="0.2">
      <c r="T1648" t="s">
        <v>1920</v>
      </c>
    </row>
    <row r="1649" spans="20:20" x14ac:dyDescent="0.2">
      <c r="T1649" t="s">
        <v>1921</v>
      </c>
    </row>
    <row r="1650" spans="20:20" x14ac:dyDescent="0.2">
      <c r="T1650" t="s">
        <v>1922</v>
      </c>
    </row>
    <row r="1651" spans="20:20" x14ac:dyDescent="0.2">
      <c r="T1651" t="s">
        <v>1923</v>
      </c>
    </row>
    <row r="1652" spans="20:20" x14ac:dyDescent="0.2">
      <c r="T1652" t="s">
        <v>1924</v>
      </c>
    </row>
    <row r="1653" spans="20:20" x14ac:dyDescent="0.2">
      <c r="T1653" t="s">
        <v>1925</v>
      </c>
    </row>
    <row r="1654" spans="20:20" x14ac:dyDescent="0.2">
      <c r="T1654" t="s">
        <v>1926</v>
      </c>
    </row>
    <row r="1655" spans="20:20" x14ac:dyDescent="0.2">
      <c r="T1655" t="s">
        <v>1927</v>
      </c>
    </row>
    <row r="1656" spans="20:20" x14ac:dyDescent="0.2">
      <c r="T1656" t="s">
        <v>1928</v>
      </c>
    </row>
    <row r="1657" spans="20:20" x14ac:dyDescent="0.2">
      <c r="T1657" t="s">
        <v>764</v>
      </c>
    </row>
    <row r="1658" spans="20:20" x14ac:dyDescent="0.2">
      <c r="T1658" t="s">
        <v>1929</v>
      </c>
    </row>
    <row r="1659" spans="20:20" x14ac:dyDescent="0.2">
      <c r="T1659" t="s">
        <v>1930</v>
      </c>
    </row>
    <row r="1660" spans="20:20" x14ac:dyDescent="0.2">
      <c r="T1660" t="s">
        <v>1931</v>
      </c>
    </row>
    <row r="1661" spans="20:20" x14ac:dyDescent="0.2">
      <c r="T1661" t="s">
        <v>1932</v>
      </c>
    </row>
    <row r="1662" spans="20:20" x14ac:dyDescent="0.2">
      <c r="T1662" t="s">
        <v>1933</v>
      </c>
    </row>
    <row r="1663" spans="20:20" x14ac:dyDescent="0.2">
      <c r="T1663" t="s">
        <v>1934</v>
      </c>
    </row>
    <row r="1664" spans="20:20" x14ac:dyDescent="0.2">
      <c r="T1664" t="s">
        <v>1935</v>
      </c>
    </row>
    <row r="1665" spans="20:20" x14ac:dyDescent="0.2">
      <c r="T1665" t="s">
        <v>1936</v>
      </c>
    </row>
    <row r="1666" spans="20:20" x14ac:dyDescent="0.2">
      <c r="T1666" t="s">
        <v>1937</v>
      </c>
    </row>
    <row r="1667" spans="20:20" x14ac:dyDescent="0.2">
      <c r="T1667" t="s">
        <v>1938</v>
      </c>
    </row>
    <row r="1668" spans="20:20" x14ac:dyDescent="0.2">
      <c r="T1668" t="s">
        <v>1939</v>
      </c>
    </row>
    <row r="1669" spans="20:20" x14ac:dyDescent="0.2">
      <c r="T1669" t="s">
        <v>1940</v>
      </c>
    </row>
    <row r="1670" spans="20:20" x14ac:dyDescent="0.2">
      <c r="T1670" t="s">
        <v>764</v>
      </c>
    </row>
    <row r="1671" spans="20:20" x14ac:dyDescent="0.2">
      <c r="T1671" t="s">
        <v>1941</v>
      </c>
    </row>
    <row r="1672" spans="20:20" x14ac:dyDescent="0.2">
      <c r="T1672" t="s">
        <v>1942</v>
      </c>
    </row>
    <row r="1673" spans="20:20" x14ac:dyDescent="0.2">
      <c r="T1673" t="s">
        <v>1943</v>
      </c>
    </row>
    <row r="1674" spans="20:20" x14ac:dyDescent="0.2">
      <c r="T1674" t="s">
        <v>1944</v>
      </c>
    </row>
    <row r="1675" spans="20:20" x14ac:dyDescent="0.2">
      <c r="T1675" t="s">
        <v>1945</v>
      </c>
    </row>
    <row r="1676" spans="20:20" x14ac:dyDescent="0.2">
      <c r="T1676" t="s">
        <v>1946</v>
      </c>
    </row>
    <row r="1677" spans="20:20" x14ac:dyDescent="0.2">
      <c r="T1677" t="s">
        <v>1947</v>
      </c>
    </row>
    <row r="1678" spans="20:20" x14ac:dyDescent="0.2">
      <c r="T1678" t="s">
        <v>1948</v>
      </c>
    </row>
    <row r="1679" spans="20:20" x14ac:dyDescent="0.2">
      <c r="T1679" t="s">
        <v>1949</v>
      </c>
    </row>
    <row r="1680" spans="20:20" x14ac:dyDescent="0.2">
      <c r="T1680" t="s">
        <v>1950</v>
      </c>
    </row>
    <row r="1681" spans="20:20" x14ac:dyDescent="0.2">
      <c r="T1681" t="s">
        <v>1951</v>
      </c>
    </row>
    <row r="1682" spans="20:20" x14ac:dyDescent="0.2">
      <c r="T1682" t="s">
        <v>497</v>
      </c>
    </row>
    <row r="1683" spans="20:20" x14ac:dyDescent="0.2">
      <c r="T1683" t="s">
        <v>498</v>
      </c>
    </row>
    <row r="1684" spans="20:20" x14ac:dyDescent="0.2">
      <c r="T1684" t="s">
        <v>1952</v>
      </c>
    </row>
    <row r="1685" spans="20:20" x14ac:dyDescent="0.2">
      <c r="T1685" t="s">
        <v>1953</v>
      </c>
    </row>
    <row r="1686" spans="20:20" x14ac:dyDescent="0.2">
      <c r="T1686" t="s">
        <v>1954</v>
      </c>
    </row>
    <row r="1687" spans="20:20" x14ac:dyDescent="0.2">
      <c r="T1687" t="s">
        <v>1955</v>
      </c>
    </row>
    <row r="1688" spans="20:20" x14ac:dyDescent="0.2">
      <c r="T1688" t="s">
        <v>1956</v>
      </c>
    </row>
    <row r="1689" spans="20:20" x14ac:dyDescent="0.2">
      <c r="T1689" t="s">
        <v>1957</v>
      </c>
    </row>
    <row r="1690" spans="20:20" x14ac:dyDescent="0.2">
      <c r="T1690" t="s">
        <v>1958</v>
      </c>
    </row>
    <row r="1691" spans="20:20" x14ac:dyDescent="0.2">
      <c r="T1691" t="s">
        <v>1959</v>
      </c>
    </row>
    <row r="1692" spans="20:20" x14ac:dyDescent="0.2">
      <c r="T1692" t="s">
        <v>497</v>
      </c>
    </row>
    <row r="1693" spans="20:20" x14ac:dyDescent="0.2">
      <c r="T1693" t="s">
        <v>498</v>
      </c>
    </row>
    <row r="1694" spans="20:20" x14ac:dyDescent="0.2">
      <c r="T1694" t="s">
        <v>1960</v>
      </c>
    </row>
    <row r="1695" spans="20:20" x14ac:dyDescent="0.2">
      <c r="T1695" t="s">
        <v>1961</v>
      </c>
    </row>
    <row r="1696" spans="20:20" x14ac:dyDescent="0.2">
      <c r="T1696" t="s">
        <v>1962</v>
      </c>
    </row>
    <row r="1697" spans="20:20" x14ac:dyDescent="0.2">
      <c r="T1697" t="s">
        <v>1963</v>
      </c>
    </row>
    <row r="1698" spans="20:20" x14ac:dyDescent="0.2">
      <c r="T1698" t="s">
        <v>1964</v>
      </c>
    </row>
    <row r="1699" spans="20:20" x14ac:dyDescent="0.2">
      <c r="T1699" t="s">
        <v>1965</v>
      </c>
    </row>
    <row r="1700" spans="20:20" x14ac:dyDescent="0.2">
      <c r="T1700" t="s">
        <v>1966</v>
      </c>
    </row>
    <row r="1701" spans="20:20" x14ac:dyDescent="0.2">
      <c r="T1701" t="s">
        <v>1967</v>
      </c>
    </row>
    <row r="1702" spans="20:20" x14ac:dyDescent="0.2">
      <c r="T1702" t="s">
        <v>1968</v>
      </c>
    </row>
    <row r="1703" spans="20:20" x14ac:dyDescent="0.2">
      <c r="T1703" t="s">
        <v>1969</v>
      </c>
    </row>
    <row r="1704" spans="20:20" x14ac:dyDescent="0.2">
      <c r="T1704" t="s">
        <v>497</v>
      </c>
    </row>
    <row r="1705" spans="20:20" x14ac:dyDescent="0.2">
      <c r="T1705" t="s">
        <v>498</v>
      </c>
    </row>
    <row r="1706" spans="20:20" x14ac:dyDescent="0.2">
      <c r="T1706" t="s">
        <v>1970</v>
      </c>
    </row>
    <row r="1707" spans="20:20" x14ac:dyDescent="0.2">
      <c r="T1707" t="s">
        <v>1971</v>
      </c>
    </row>
    <row r="1708" spans="20:20" x14ac:dyDescent="0.2">
      <c r="T1708" t="s">
        <v>1972</v>
      </c>
    </row>
    <row r="1709" spans="20:20" x14ac:dyDescent="0.2">
      <c r="T1709" t="s">
        <v>1973</v>
      </c>
    </row>
    <row r="1710" spans="20:20" x14ac:dyDescent="0.2">
      <c r="T1710" t="s">
        <v>1974</v>
      </c>
    </row>
    <row r="1711" spans="20:20" x14ac:dyDescent="0.2">
      <c r="T1711" t="s">
        <v>1975</v>
      </c>
    </row>
    <row r="1712" spans="20:20" x14ac:dyDescent="0.2">
      <c r="T1712" t="s">
        <v>497</v>
      </c>
    </row>
    <row r="1713" spans="20:20" x14ac:dyDescent="0.2">
      <c r="T1713" t="s">
        <v>498</v>
      </c>
    </row>
    <row r="1714" spans="20:20" x14ac:dyDescent="0.2">
      <c r="T1714" t="s">
        <v>1976</v>
      </c>
    </row>
    <row r="1715" spans="20:20" x14ac:dyDescent="0.2">
      <c r="T1715" t="s">
        <v>1895</v>
      </c>
    </row>
    <row r="1716" spans="20:20" x14ac:dyDescent="0.2">
      <c r="T1716" t="s">
        <v>1977</v>
      </c>
    </row>
    <row r="1717" spans="20:20" x14ac:dyDescent="0.2">
      <c r="T1717" t="s">
        <v>1978</v>
      </c>
    </row>
    <row r="1718" spans="20:20" x14ac:dyDescent="0.2">
      <c r="T1718" t="s">
        <v>1979</v>
      </c>
    </row>
    <row r="1719" spans="20:20" x14ac:dyDescent="0.2">
      <c r="T1719" t="s">
        <v>1980</v>
      </c>
    </row>
    <row r="1720" spans="20:20" x14ac:dyDescent="0.2">
      <c r="T1720" t="s">
        <v>1981</v>
      </c>
    </row>
    <row r="1721" spans="20:20" x14ac:dyDescent="0.2">
      <c r="T1721" t="s">
        <v>1982</v>
      </c>
    </row>
    <row r="1722" spans="20:20" x14ac:dyDescent="0.2">
      <c r="T1722" t="s">
        <v>1983</v>
      </c>
    </row>
    <row r="1723" spans="20:20" x14ac:dyDescent="0.2">
      <c r="T1723" t="s">
        <v>1984</v>
      </c>
    </row>
    <row r="1724" spans="20:20" x14ac:dyDescent="0.2">
      <c r="T1724" t="s">
        <v>1985</v>
      </c>
    </row>
    <row r="1725" spans="20:20" x14ac:dyDescent="0.2">
      <c r="T1725" t="s">
        <v>497</v>
      </c>
    </row>
    <row r="1726" spans="20:20" x14ac:dyDescent="0.2">
      <c r="T1726" t="s">
        <v>498</v>
      </c>
    </row>
    <row r="1727" spans="20:20" x14ac:dyDescent="0.2">
      <c r="T1727" t="s">
        <v>1986</v>
      </c>
    </row>
    <row r="1728" spans="20:20" x14ac:dyDescent="0.2">
      <c r="T1728" t="s">
        <v>1987</v>
      </c>
    </row>
    <row r="1729" spans="20:20" x14ac:dyDescent="0.2">
      <c r="T1729" t="s">
        <v>1988</v>
      </c>
    </row>
    <row r="1730" spans="20:20" x14ac:dyDescent="0.2">
      <c r="T1730" t="s">
        <v>1989</v>
      </c>
    </row>
    <row r="1731" spans="20:20" x14ac:dyDescent="0.2">
      <c r="T1731" t="s">
        <v>1990</v>
      </c>
    </row>
    <row r="1732" spans="20:20" x14ac:dyDescent="0.2">
      <c r="T1732" t="s">
        <v>1991</v>
      </c>
    </row>
    <row r="1733" spans="20:20" x14ac:dyDescent="0.2">
      <c r="T1733" t="s">
        <v>497</v>
      </c>
    </row>
    <row r="1734" spans="20:20" x14ac:dyDescent="0.2">
      <c r="T1734" t="s">
        <v>498</v>
      </c>
    </row>
    <row r="1735" spans="20:20" x14ac:dyDescent="0.2">
      <c r="T1735" t="s">
        <v>1992</v>
      </c>
    </row>
    <row r="1736" spans="20:20" x14ac:dyDescent="0.2">
      <c r="T1736" t="s">
        <v>1895</v>
      </c>
    </row>
    <row r="1737" spans="20:20" x14ac:dyDescent="0.2">
      <c r="T1737" t="s">
        <v>1993</v>
      </c>
    </row>
    <row r="1738" spans="20:20" x14ac:dyDescent="0.2">
      <c r="T1738" t="s">
        <v>1994</v>
      </c>
    </row>
    <row r="1739" spans="20:20" x14ac:dyDescent="0.2">
      <c r="T1739" t="s">
        <v>1995</v>
      </c>
    </row>
    <row r="1740" spans="20:20" x14ac:dyDescent="0.2">
      <c r="T1740" t="s">
        <v>1996</v>
      </c>
    </row>
    <row r="1741" spans="20:20" x14ac:dyDescent="0.2">
      <c r="T1741" t="s">
        <v>1997</v>
      </c>
    </row>
    <row r="1742" spans="20:20" x14ac:dyDescent="0.2">
      <c r="T1742" t="s">
        <v>1998</v>
      </c>
    </row>
    <row r="1743" spans="20:20" x14ac:dyDescent="0.2">
      <c r="T1743" t="s">
        <v>1999</v>
      </c>
    </row>
    <row r="1744" spans="20:20" x14ac:dyDescent="0.2">
      <c r="T1744" t="s">
        <v>2000</v>
      </c>
    </row>
    <row r="1745" spans="20:20" x14ac:dyDescent="0.2">
      <c r="T1745" t="s">
        <v>497</v>
      </c>
    </row>
    <row r="1746" spans="20:20" x14ac:dyDescent="0.2">
      <c r="T1746" t="s">
        <v>498</v>
      </c>
    </row>
    <row r="1747" spans="20:20" x14ac:dyDescent="0.2">
      <c r="T1747" t="s">
        <v>1931</v>
      </c>
    </row>
    <row r="1748" spans="20:20" x14ac:dyDescent="0.2">
      <c r="T1748" t="s">
        <v>2001</v>
      </c>
    </row>
    <row r="1749" spans="20:20" x14ac:dyDescent="0.2">
      <c r="T1749" t="s">
        <v>2002</v>
      </c>
    </row>
    <row r="1750" spans="20:20" x14ac:dyDescent="0.2">
      <c r="T1750" t="s">
        <v>2003</v>
      </c>
    </row>
    <row r="1751" spans="20:20" x14ac:dyDescent="0.2">
      <c r="T1751" t="s">
        <v>2004</v>
      </c>
    </row>
    <row r="1752" spans="20:20" x14ac:dyDescent="0.2">
      <c r="T1752" t="s">
        <v>2005</v>
      </c>
    </row>
    <row r="1753" spans="20:20" x14ac:dyDescent="0.2">
      <c r="T1753" t="s">
        <v>2006</v>
      </c>
    </row>
    <row r="1754" spans="20:20" x14ac:dyDescent="0.2">
      <c r="T1754" t="s">
        <v>2007</v>
      </c>
    </row>
    <row r="1755" spans="20:20" x14ac:dyDescent="0.2">
      <c r="T1755" t="s">
        <v>497</v>
      </c>
    </row>
    <row r="1756" spans="20:20" x14ac:dyDescent="0.2">
      <c r="T1756" t="s">
        <v>498</v>
      </c>
    </row>
    <row r="1757" spans="20:20" x14ac:dyDescent="0.2">
      <c r="T1757" t="s">
        <v>2008</v>
      </c>
    </row>
    <row r="1758" spans="20:20" x14ac:dyDescent="0.2">
      <c r="T1758" t="s">
        <v>2009</v>
      </c>
    </row>
    <row r="1759" spans="20:20" x14ac:dyDescent="0.2">
      <c r="T1759" t="s">
        <v>2010</v>
      </c>
    </row>
    <row r="1760" spans="20:20" x14ac:dyDescent="0.2">
      <c r="T1760" t="s">
        <v>2011</v>
      </c>
    </row>
    <row r="1761" spans="20:20" x14ac:dyDescent="0.2">
      <c r="T1761" t="s">
        <v>2012</v>
      </c>
    </row>
    <row r="1762" spans="20:20" x14ac:dyDescent="0.2">
      <c r="T1762" t="s">
        <v>2013</v>
      </c>
    </row>
    <row r="1763" spans="20:20" x14ac:dyDescent="0.2">
      <c r="T1763" t="s">
        <v>2014</v>
      </c>
    </row>
    <row r="1764" spans="20:20" x14ac:dyDescent="0.2">
      <c r="T1764" t="s">
        <v>2015</v>
      </c>
    </row>
    <row r="1765" spans="20:20" x14ac:dyDescent="0.2">
      <c r="T1765" t="s">
        <v>2016</v>
      </c>
    </row>
    <row r="1766" spans="20:20" x14ac:dyDescent="0.2">
      <c r="T1766" t="s">
        <v>2017</v>
      </c>
    </row>
    <row r="1767" spans="20:20" x14ac:dyDescent="0.2">
      <c r="T1767" t="s">
        <v>2018</v>
      </c>
    </row>
    <row r="1768" spans="20:20" x14ac:dyDescent="0.2">
      <c r="T1768" t="s">
        <v>2019</v>
      </c>
    </row>
    <row r="1769" spans="20:20" x14ac:dyDescent="0.2">
      <c r="T1769" t="s">
        <v>2020</v>
      </c>
    </row>
    <row r="1770" spans="20:20" x14ac:dyDescent="0.2">
      <c r="T1770" t="s">
        <v>764</v>
      </c>
    </row>
    <row r="1771" spans="20:20" x14ac:dyDescent="0.2">
      <c r="T1771" t="s">
        <v>2021</v>
      </c>
    </row>
    <row r="1772" spans="20:20" x14ac:dyDescent="0.2">
      <c r="T1772" t="s">
        <v>2022</v>
      </c>
    </row>
    <row r="1773" spans="20:20" x14ac:dyDescent="0.2">
      <c r="T1773" t="s">
        <v>2023</v>
      </c>
    </row>
    <row r="1774" spans="20:20" x14ac:dyDescent="0.2">
      <c r="T1774" t="s">
        <v>2024</v>
      </c>
    </row>
    <row r="1775" spans="20:20" x14ac:dyDescent="0.2">
      <c r="T1775" t="s">
        <v>2025</v>
      </c>
    </row>
    <row r="1776" spans="20:20" x14ac:dyDescent="0.2">
      <c r="T1776" t="s">
        <v>2026</v>
      </c>
    </row>
    <row r="1777" spans="20:20" x14ac:dyDescent="0.2">
      <c r="T1777" t="s">
        <v>2027</v>
      </c>
    </row>
    <row r="1778" spans="20:20" x14ac:dyDescent="0.2">
      <c r="T1778" t="s">
        <v>2028</v>
      </c>
    </row>
    <row r="1779" spans="20:20" x14ac:dyDescent="0.2">
      <c r="T1779" t="s">
        <v>2029</v>
      </c>
    </row>
    <row r="1780" spans="20:20" x14ac:dyDescent="0.2">
      <c r="T1780" t="s">
        <v>2030</v>
      </c>
    </row>
    <row r="1781" spans="20:20" x14ac:dyDescent="0.2">
      <c r="T1781" t="s">
        <v>2031</v>
      </c>
    </row>
    <row r="1782" spans="20:20" x14ac:dyDescent="0.2">
      <c r="T1782" t="s">
        <v>497</v>
      </c>
    </row>
    <row r="1783" spans="20:20" x14ac:dyDescent="0.2">
      <c r="T1783" t="s">
        <v>498</v>
      </c>
    </row>
    <row r="1784" spans="20:20" x14ac:dyDescent="0.2">
      <c r="T1784" t="s">
        <v>1960</v>
      </c>
    </row>
    <row r="1785" spans="20:20" x14ac:dyDescent="0.2">
      <c r="T1785" t="s">
        <v>2032</v>
      </c>
    </row>
    <row r="1786" spans="20:20" x14ac:dyDescent="0.2">
      <c r="T1786" t="s">
        <v>2033</v>
      </c>
    </row>
    <row r="1787" spans="20:20" x14ac:dyDescent="0.2">
      <c r="T1787" t="s">
        <v>2034</v>
      </c>
    </row>
    <row r="1788" spans="20:20" x14ac:dyDescent="0.2">
      <c r="T1788" t="s">
        <v>2035</v>
      </c>
    </row>
    <row r="1789" spans="20:20" x14ac:dyDescent="0.2">
      <c r="T1789" t="s">
        <v>2036</v>
      </c>
    </row>
    <row r="1790" spans="20:20" x14ac:dyDescent="0.2">
      <c r="T1790" t="s">
        <v>2037</v>
      </c>
    </row>
    <row r="1791" spans="20:20" x14ac:dyDescent="0.2">
      <c r="T1791" t="s">
        <v>2038</v>
      </c>
    </row>
    <row r="1792" spans="20:20" x14ac:dyDescent="0.2">
      <c r="T1792" t="s">
        <v>2039</v>
      </c>
    </row>
    <row r="1793" spans="20:20" x14ac:dyDescent="0.2">
      <c r="T1793" t="s">
        <v>497</v>
      </c>
    </row>
    <row r="1794" spans="20:20" x14ac:dyDescent="0.2">
      <c r="T1794" t="s">
        <v>498</v>
      </c>
    </row>
    <row r="1795" spans="20:20" x14ac:dyDescent="0.2">
      <c r="T1795" t="s">
        <v>2040</v>
      </c>
    </row>
    <row r="1796" spans="20:20" x14ac:dyDescent="0.2">
      <c r="T1796" t="s">
        <v>2041</v>
      </c>
    </row>
    <row r="1797" spans="20:20" x14ac:dyDescent="0.2">
      <c r="T1797" t="s">
        <v>2042</v>
      </c>
    </row>
    <row r="1798" spans="20:20" x14ac:dyDescent="0.2">
      <c r="T1798" t="s">
        <v>2043</v>
      </c>
    </row>
    <row r="1799" spans="20:20" x14ac:dyDescent="0.2">
      <c r="T1799" t="s">
        <v>2044</v>
      </c>
    </row>
    <row r="1800" spans="20:20" x14ac:dyDescent="0.2">
      <c r="T1800" t="s">
        <v>2045</v>
      </c>
    </row>
    <row r="1801" spans="20:20" x14ac:dyDescent="0.2">
      <c r="T1801" t="s">
        <v>2046</v>
      </c>
    </row>
    <row r="1802" spans="20:20" x14ac:dyDescent="0.2">
      <c r="T1802" t="s">
        <v>2047</v>
      </c>
    </row>
    <row r="1803" spans="20:20" x14ac:dyDescent="0.2">
      <c r="T1803" t="s">
        <v>497</v>
      </c>
    </row>
    <row r="1804" spans="20:20" x14ac:dyDescent="0.2">
      <c r="T1804" t="s">
        <v>498</v>
      </c>
    </row>
    <row r="1805" spans="20:20" x14ac:dyDescent="0.2">
      <c r="T1805" t="s">
        <v>2048</v>
      </c>
    </row>
    <row r="1806" spans="20:20" x14ac:dyDescent="0.2">
      <c r="T1806" t="s">
        <v>2049</v>
      </c>
    </row>
    <row r="1807" spans="20:20" x14ac:dyDescent="0.2">
      <c r="T1807" t="s">
        <v>2050</v>
      </c>
    </row>
    <row r="1808" spans="20:20" x14ac:dyDescent="0.2">
      <c r="T1808" t="s">
        <v>2051</v>
      </c>
    </row>
    <row r="1809" spans="20:20" x14ac:dyDescent="0.2">
      <c r="T1809" t="s">
        <v>2052</v>
      </c>
    </row>
    <row r="1810" spans="20:20" x14ac:dyDescent="0.2">
      <c r="T1810" t="s">
        <v>2053</v>
      </c>
    </row>
    <row r="1811" spans="20:20" x14ac:dyDescent="0.2">
      <c r="T1811" t="s">
        <v>764</v>
      </c>
    </row>
    <row r="1812" spans="20:20" x14ac:dyDescent="0.2">
      <c r="T1812" t="s">
        <v>2054</v>
      </c>
    </row>
    <row r="1813" spans="20:20" x14ac:dyDescent="0.2">
      <c r="T1813" t="s">
        <v>2055</v>
      </c>
    </row>
    <row r="1814" spans="20:20" x14ac:dyDescent="0.2">
      <c r="T1814" t="s">
        <v>2056</v>
      </c>
    </row>
    <row r="1815" spans="20:20" x14ac:dyDescent="0.2">
      <c r="T1815" t="s">
        <v>2057</v>
      </c>
    </row>
    <row r="1816" spans="20:20" x14ac:dyDescent="0.2">
      <c r="T1816" t="s">
        <v>2058</v>
      </c>
    </row>
    <row r="1817" spans="20:20" x14ac:dyDescent="0.2">
      <c r="T1817" t="s">
        <v>2059</v>
      </c>
    </row>
    <row r="1818" spans="20:20" x14ac:dyDescent="0.2">
      <c r="T1818" t="s">
        <v>2060</v>
      </c>
    </row>
    <row r="1819" spans="20:20" x14ac:dyDescent="0.2">
      <c r="T1819" t="s">
        <v>2061</v>
      </c>
    </row>
    <row r="1820" spans="20:20" x14ac:dyDescent="0.2">
      <c r="T1820" t="s">
        <v>2062</v>
      </c>
    </row>
    <row r="1821" spans="20:20" x14ac:dyDescent="0.2">
      <c r="T1821" t="s">
        <v>2063</v>
      </c>
    </row>
    <row r="1822" spans="20:20" x14ac:dyDescent="0.2">
      <c r="T1822" t="s">
        <v>2064</v>
      </c>
    </row>
    <row r="1823" spans="20:20" x14ac:dyDescent="0.2">
      <c r="T1823" t="s">
        <v>2065</v>
      </c>
    </row>
    <row r="1824" spans="20:20" x14ac:dyDescent="0.2">
      <c r="T1824" t="s">
        <v>2066</v>
      </c>
    </row>
    <row r="1825" spans="20:20" x14ac:dyDescent="0.2">
      <c r="T1825" t="s">
        <v>2067</v>
      </c>
    </row>
    <row r="1826" spans="20:20" x14ac:dyDescent="0.2">
      <c r="T1826" t="s">
        <v>2068</v>
      </c>
    </row>
    <row r="1827" spans="20:20" x14ac:dyDescent="0.2">
      <c r="T1827" t="s">
        <v>2069</v>
      </c>
    </row>
    <row r="1828" spans="20:20" x14ac:dyDescent="0.2">
      <c r="T1828" t="s">
        <v>2070</v>
      </c>
    </row>
    <row r="1829" spans="20:20" x14ac:dyDescent="0.2">
      <c r="T1829" t="s">
        <v>2071</v>
      </c>
    </row>
    <row r="1830" spans="20:20" x14ac:dyDescent="0.2">
      <c r="T1830" t="s">
        <v>2072</v>
      </c>
    </row>
    <row r="1831" spans="20:20" x14ac:dyDescent="0.2">
      <c r="T1831" t="s">
        <v>2073</v>
      </c>
    </row>
    <row r="1832" spans="20:20" x14ac:dyDescent="0.2">
      <c r="T1832" t="s">
        <v>2074</v>
      </c>
    </row>
    <row r="1833" spans="20:20" x14ac:dyDescent="0.2">
      <c r="T1833" t="s">
        <v>2075</v>
      </c>
    </row>
    <row r="1834" spans="20:20" x14ac:dyDescent="0.2">
      <c r="T1834" t="s">
        <v>2076</v>
      </c>
    </row>
    <row r="1835" spans="20:20" x14ac:dyDescent="0.2">
      <c r="T1835" t="s">
        <v>2077</v>
      </c>
    </row>
    <row r="1836" spans="20:20" x14ac:dyDescent="0.2">
      <c r="T1836" t="s">
        <v>2078</v>
      </c>
    </row>
    <row r="1837" spans="20:20" x14ac:dyDescent="0.2">
      <c r="T1837" t="s">
        <v>2079</v>
      </c>
    </row>
    <row r="1838" spans="20:20" x14ac:dyDescent="0.2">
      <c r="T1838" t="s">
        <v>764</v>
      </c>
    </row>
    <row r="1839" spans="20:20" x14ac:dyDescent="0.2">
      <c r="T1839" t="s">
        <v>2080</v>
      </c>
    </row>
    <row r="1840" spans="20:20" x14ac:dyDescent="0.2">
      <c r="T1840" t="s">
        <v>2081</v>
      </c>
    </row>
    <row r="1841" spans="20:20" x14ac:dyDescent="0.2">
      <c r="T1841" t="s">
        <v>2082</v>
      </c>
    </row>
    <row r="1842" spans="20:20" x14ac:dyDescent="0.2">
      <c r="T1842" t="s">
        <v>497</v>
      </c>
    </row>
    <row r="1843" spans="20:20" x14ac:dyDescent="0.2">
      <c r="T1843" t="s">
        <v>498</v>
      </c>
    </row>
    <row r="1844" spans="20:20" x14ac:dyDescent="0.2">
      <c r="T1844" t="s">
        <v>2083</v>
      </c>
    </row>
    <row r="1845" spans="20:20" x14ac:dyDescent="0.2">
      <c r="T1845" t="s">
        <v>2084</v>
      </c>
    </row>
    <row r="1846" spans="20:20" x14ac:dyDescent="0.2">
      <c r="T1846" t="s">
        <v>2085</v>
      </c>
    </row>
    <row r="1847" spans="20:20" x14ac:dyDescent="0.2">
      <c r="T1847" t="s">
        <v>2086</v>
      </c>
    </row>
    <row r="1848" spans="20:20" x14ac:dyDescent="0.2">
      <c r="T1848" t="s">
        <v>2087</v>
      </c>
    </row>
    <row r="1849" spans="20:20" x14ac:dyDescent="0.2">
      <c r="T1849" t="s">
        <v>2088</v>
      </c>
    </row>
    <row r="1850" spans="20:20" x14ac:dyDescent="0.2">
      <c r="T1850" t="s">
        <v>2089</v>
      </c>
    </row>
    <row r="1851" spans="20:20" x14ac:dyDescent="0.2">
      <c r="T1851" t="s">
        <v>2090</v>
      </c>
    </row>
    <row r="1852" spans="20:20" x14ac:dyDescent="0.2">
      <c r="T1852" t="s">
        <v>497</v>
      </c>
    </row>
    <row r="1853" spans="20:20" x14ac:dyDescent="0.2">
      <c r="T1853" t="s">
        <v>498</v>
      </c>
    </row>
    <row r="1854" spans="20:20" x14ac:dyDescent="0.2">
      <c r="T1854" t="s">
        <v>2008</v>
      </c>
    </row>
    <row r="1855" spans="20:20" x14ac:dyDescent="0.2">
      <c r="T1855" t="s">
        <v>2091</v>
      </c>
    </row>
    <row r="1856" spans="20:20" x14ac:dyDescent="0.2">
      <c r="T1856" t="s">
        <v>2092</v>
      </c>
    </row>
    <row r="1857" spans="20:20" x14ac:dyDescent="0.2">
      <c r="T1857" t="s">
        <v>2093</v>
      </c>
    </row>
    <row r="1858" spans="20:20" x14ac:dyDescent="0.2">
      <c r="T1858" t="s">
        <v>2094</v>
      </c>
    </row>
    <row r="1859" spans="20:20" x14ac:dyDescent="0.2">
      <c r="T1859" t="s">
        <v>2095</v>
      </c>
    </row>
    <row r="1860" spans="20:20" x14ac:dyDescent="0.2">
      <c r="T1860" t="s">
        <v>2096</v>
      </c>
    </row>
    <row r="1861" spans="20:20" x14ac:dyDescent="0.2">
      <c r="T1861" t="s">
        <v>2097</v>
      </c>
    </row>
    <row r="1862" spans="20:20" x14ac:dyDescent="0.2">
      <c r="T1862" t="s">
        <v>2098</v>
      </c>
    </row>
    <row r="1863" spans="20:20" x14ac:dyDescent="0.2">
      <c r="T1863" t="s">
        <v>2099</v>
      </c>
    </row>
    <row r="1864" spans="20:20" x14ac:dyDescent="0.2">
      <c r="T1864" t="s">
        <v>2100</v>
      </c>
    </row>
    <row r="1865" spans="20:20" x14ac:dyDescent="0.2">
      <c r="T1865" t="s">
        <v>497</v>
      </c>
    </row>
    <row r="1866" spans="20:20" x14ac:dyDescent="0.2">
      <c r="T1866" t="s">
        <v>498</v>
      </c>
    </row>
    <row r="1867" spans="20:20" x14ac:dyDescent="0.2">
      <c r="T1867" t="s">
        <v>2101</v>
      </c>
    </row>
    <row r="1868" spans="20:20" x14ac:dyDescent="0.2">
      <c r="T1868" t="s">
        <v>2102</v>
      </c>
    </row>
    <row r="1869" spans="20:20" x14ac:dyDescent="0.2">
      <c r="T1869" t="s">
        <v>2103</v>
      </c>
    </row>
    <row r="1870" spans="20:20" x14ac:dyDescent="0.2">
      <c r="T1870" t="s">
        <v>2104</v>
      </c>
    </row>
    <row r="1871" spans="20:20" x14ac:dyDescent="0.2">
      <c r="T1871" t="s">
        <v>2105</v>
      </c>
    </row>
    <row r="1872" spans="20:20" x14ac:dyDescent="0.2">
      <c r="T1872" t="s">
        <v>2106</v>
      </c>
    </row>
    <row r="1873" spans="20:20" x14ac:dyDescent="0.2">
      <c r="T1873" t="s">
        <v>2107</v>
      </c>
    </row>
    <row r="1874" spans="20:20" x14ac:dyDescent="0.2">
      <c r="T1874" t="s">
        <v>2108</v>
      </c>
    </row>
    <row r="1875" spans="20:20" x14ac:dyDescent="0.2">
      <c r="T1875" t="s">
        <v>764</v>
      </c>
    </row>
    <row r="1876" spans="20:20" x14ac:dyDescent="0.2">
      <c r="T1876" t="s">
        <v>2109</v>
      </c>
    </row>
    <row r="1877" spans="20:20" x14ac:dyDescent="0.2">
      <c r="T1877" t="s">
        <v>2110</v>
      </c>
    </row>
    <row r="1878" spans="20:20" x14ac:dyDescent="0.2">
      <c r="T1878" t="s">
        <v>2111</v>
      </c>
    </row>
    <row r="1879" spans="20:20" x14ac:dyDescent="0.2">
      <c r="T1879" t="s">
        <v>2112</v>
      </c>
    </row>
    <row r="1880" spans="20:20" x14ac:dyDescent="0.2">
      <c r="T1880" t="s">
        <v>2113</v>
      </c>
    </row>
    <row r="1881" spans="20:20" x14ac:dyDescent="0.2">
      <c r="T1881" t="s">
        <v>2114</v>
      </c>
    </row>
    <row r="1882" spans="20:20" x14ac:dyDescent="0.2">
      <c r="T1882" t="s">
        <v>2115</v>
      </c>
    </row>
    <row r="1883" spans="20:20" x14ac:dyDescent="0.2">
      <c r="T1883" t="s">
        <v>2116</v>
      </c>
    </row>
    <row r="1884" spans="20:20" x14ac:dyDescent="0.2">
      <c r="T1884" t="s">
        <v>2117</v>
      </c>
    </row>
    <row r="1885" spans="20:20" x14ac:dyDescent="0.2">
      <c r="T1885" t="s">
        <v>2118</v>
      </c>
    </row>
    <row r="1886" spans="20:20" x14ac:dyDescent="0.2">
      <c r="T1886" t="s">
        <v>2119</v>
      </c>
    </row>
    <row r="1887" spans="20:20" x14ac:dyDescent="0.2">
      <c r="T1887" t="s">
        <v>764</v>
      </c>
    </row>
    <row r="1888" spans="20:20" x14ac:dyDescent="0.2">
      <c r="T1888" t="s">
        <v>2120</v>
      </c>
    </row>
    <row r="1889" spans="20:20" x14ac:dyDescent="0.2">
      <c r="T1889" t="s">
        <v>2121</v>
      </c>
    </row>
    <row r="1890" spans="20:20" x14ac:dyDescent="0.2">
      <c r="T1890" t="s">
        <v>2122</v>
      </c>
    </row>
    <row r="1891" spans="20:20" x14ac:dyDescent="0.2">
      <c r="T1891" t="s">
        <v>2123</v>
      </c>
    </row>
    <row r="1892" spans="20:20" x14ac:dyDescent="0.2">
      <c r="T1892" t="s">
        <v>2124</v>
      </c>
    </row>
    <row r="1893" spans="20:20" x14ac:dyDescent="0.2">
      <c r="T1893" t="s">
        <v>2125</v>
      </c>
    </row>
    <row r="1894" spans="20:20" x14ac:dyDescent="0.2">
      <c r="T1894" t="s">
        <v>2126</v>
      </c>
    </row>
    <row r="1895" spans="20:20" x14ac:dyDescent="0.2">
      <c r="T1895" t="s">
        <v>2127</v>
      </c>
    </row>
    <row r="1896" spans="20:20" x14ac:dyDescent="0.2">
      <c r="T1896" t="s">
        <v>2128</v>
      </c>
    </row>
    <row r="1897" spans="20:20" x14ac:dyDescent="0.2">
      <c r="T1897" t="s">
        <v>2129</v>
      </c>
    </row>
    <row r="1898" spans="20:20" x14ac:dyDescent="0.2">
      <c r="T1898" t="s">
        <v>2130</v>
      </c>
    </row>
    <row r="1899" spans="20:20" x14ac:dyDescent="0.2">
      <c r="T1899" t="s">
        <v>497</v>
      </c>
    </row>
    <row r="1900" spans="20:20" x14ac:dyDescent="0.2">
      <c r="T1900" t="s">
        <v>498</v>
      </c>
    </row>
    <row r="1901" spans="20:20" x14ac:dyDescent="0.2">
      <c r="T1901" t="s">
        <v>2131</v>
      </c>
    </row>
    <row r="1902" spans="20:20" x14ac:dyDescent="0.2">
      <c r="T1902" t="s">
        <v>1908</v>
      </c>
    </row>
    <row r="1903" spans="20:20" x14ac:dyDescent="0.2">
      <c r="T1903" t="s">
        <v>2132</v>
      </c>
    </row>
    <row r="1904" spans="20:20" x14ac:dyDescent="0.2">
      <c r="T1904" t="s">
        <v>2133</v>
      </c>
    </row>
    <row r="1905" spans="20:20" x14ac:dyDescent="0.2">
      <c r="T1905" t="s">
        <v>2134</v>
      </c>
    </row>
    <row r="1906" spans="20:20" x14ac:dyDescent="0.2">
      <c r="T1906" t="s">
        <v>2135</v>
      </c>
    </row>
    <row r="1907" spans="20:20" x14ac:dyDescent="0.2">
      <c r="T1907" t="s">
        <v>2136</v>
      </c>
    </row>
    <row r="1908" spans="20:20" x14ac:dyDescent="0.2">
      <c r="T1908" t="s">
        <v>2137</v>
      </c>
    </row>
    <row r="1909" spans="20:20" x14ac:dyDescent="0.2">
      <c r="T1909" t="s">
        <v>2138</v>
      </c>
    </row>
    <row r="1910" spans="20:20" x14ac:dyDescent="0.2">
      <c r="T1910" t="s">
        <v>2139</v>
      </c>
    </row>
    <row r="1911" spans="20:20" x14ac:dyDescent="0.2">
      <c r="T1911" t="s">
        <v>497</v>
      </c>
    </row>
    <row r="1912" spans="20:20" x14ac:dyDescent="0.2">
      <c r="T1912" t="s">
        <v>498</v>
      </c>
    </row>
    <row r="1913" spans="20:20" x14ac:dyDescent="0.2">
      <c r="T1913" t="s">
        <v>2140</v>
      </c>
    </row>
    <row r="1914" spans="20:20" x14ac:dyDescent="0.2">
      <c r="T1914" t="s">
        <v>2141</v>
      </c>
    </row>
    <row r="1915" spans="20:20" x14ac:dyDescent="0.2">
      <c r="T1915" t="s">
        <v>2142</v>
      </c>
    </row>
    <row r="1916" spans="20:20" x14ac:dyDescent="0.2">
      <c r="T1916" t="s">
        <v>2143</v>
      </c>
    </row>
    <row r="1917" spans="20:20" x14ac:dyDescent="0.2">
      <c r="T1917" t="s">
        <v>2144</v>
      </c>
    </row>
    <row r="1918" spans="20:20" x14ac:dyDescent="0.2">
      <c r="T1918" t="s">
        <v>2145</v>
      </c>
    </row>
    <row r="1919" spans="20:20" x14ac:dyDescent="0.2">
      <c r="T1919" t="s">
        <v>1022</v>
      </c>
    </row>
    <row r="1920" spans="20:20" x14ac:dyDescent="0.2">
      <c r="T1920" t="s">
        <v>2146</v>
      </c>
    </row>
    <row r="1921" spans="20:20" x14ac:dyDescent="0.2">
      <c r="T1921" t="s">
        <v>472</v>
      </c>
    </row>
    <row r="1922" spans="20:20" x14ac:dyDescent="0.2">
      <c r="T1922" t="s">
        <v>473</v>
      </c>
    </row>
    <row r="1923" spans="20:20" x14ac:dyDescent="0.2">
      <c r="T1923" t="s">
        <v>427</v>
      </c>
    </row>
    <row r="1924" spans="20:20" x14ac:dyDescent="0.2">
      <c r="T1924" t="s">
        <v>2147</v>
      </c>
    </row>
    <row r="1925" spans="20:20" x14ac:dyDescent="0.2">
      <c r="T1925" t="s">
        <v>2148</v>
      </c>
    </row>
    <row r="1926" spans="20:20" x14ac:dyDescent="0.2">
      <c r="T1926" t="s">
        <v>2149</v>
      </c>
    </row>
    <row r="1927" spans="20:20" x14ac:dyDescent="0.2">
      <c r="T1927" t="s">
        <v>2150</v>
      </c>
    </row>
    <row r="1928" spans="20:20" x14ac:dyDescent="0.2">
      <c r="T1928" t="s">
        <v>2151</v>
      </c>
    </row>
    <row r="1929" spans="20:20" x14ac:dyDescent="0.2">
      <c r="T1929" t="s">
        <v>2152</v>
      </c>
    </row>
    <row r="1930" spans="20:20" x14ac:dyDescent="0.2">
      <c r="T1930" t="s">
        <v>2153</v>
      </c>
    </row>
    <row r="1931" spans="20:20" x14ac:dyDescent="0.2">
      <c r="T1931" t="s">
        <v>2154</v>
      </c>
    </row>
    <row r="1932" spans="20:20" x14ac:dyDescent="0.2">
      <c r="T1932" t="s">
        <v>2155</v>
      </c>
    </row>
    <row r="1933" spans="20:20" x14ac:dyDescent="0.2">
      <c r="T1933" t="s">
        <v>2156</v>
      </c>
    </row>
    <row r="1934" spans="20:20" x14ac:dyDescent="0.2">
      <c r="T1934" t="s">
        <v>2157</v>
      </c>
    </row>
    <row r="1935" spans="20:20" x14ac:dyDescent="0.2">
      <c r="T1935" t="s">
        <v>2158</v>
      </c>
    </row>
    <row r="1936" spans="20:20" x14ac:dyDescent="0.2">
      <c r="T1936" t="s">
        <v>2159</v>
      </c>
    </row>
    <row r="1937" spans="20:20" x14ac:dyDescent="0.2">
      <c r="T1937" t="s">
        <v>2160</v>
      </c>
    </row>
    <row r="1938" spans="20:20" x14ac:dyDescent="0.2">
      <c r="T1938" t="s">
        <v>2148</v>
      </c>
    </row>
    <row r="1939" spans="20:20" x14ac:dyDescent="0.2">
      <c r="T1939" t="s">
        <v>2161</v>
      </c>
    </row>
    <row r="1940" spans="20:20" x14ac:dyDescent="0.2">
      <c r="T1940" t="s">
        <v>2162</v>
      </c>
    </row>
    <row r="1941" spans="20:20" x14ac:dyDescent="0.2">
      <c r="T1941" t="s">
        <v>2163</v>
      </c>
    </row>
    <row r="1942" spans="20:20" x14ac:dyDescent="0.2">
      <c r="T1942" t="s">
        <v>2164</v>
      </c>
    </row>
    <row r="1943" spans="20:20" x14ac:dyDescent="0.2">
      <c r="T1943" t="s">
        <v>2165</v>
      </c>
    </row>
    <row r="1944" spans="20:20" x14ac:dyDescent="0.2">
      <c r="T1944" t="s">
        <v>2166</v>
      </c>
    </row>
    <row r="1945" spans="20:20" x14ac:dyDescent="0.2">
      <c r="T1945" t="s">
        <v>2167</v>
      </c>
    </row>
    <row r="1946" spans="20:20" x14ac:dyDescent="0.2">
      <c r="T1946" t="s">
        <v>2168</v>
      </c>
    </row>
    <row r="1947" spans="20:20" x14ac:dyDescent="0.2">
      <c r="T1947" t="s">
        <v>2169</v>
      </c>
    </row>
    <row r="1948" spans="20:20" x14ac:dyDescent="0.2">
      <c r="T1948" t="s">
        <v>2170</v>
      </c>
    </row>
    <row r="1949" spans="20:20" x14ac:dyDescent="0.2">
      <c r="T1949" t="s">
        <v>2171</v>
      </c>
    </row>
    <row r="1950" spans="20:20" x14ac:dyDescent="0.2">
      <c r="T1950" t="s">
        <v>2172</v>
      </c>
    </row>
    <row r="1951" spans="20:20" x14ac:dyDescent="0.2">
      <c r="T1951" t="s">
        <v>2173</v>
      </c>
    </row>
    <row r="1952" spans="20:20" x14ac:dyDescent="0.2">
      <c r="T1952" t="s">
        <v>2174</v>
      </c>
    </row>
    <row r="1953" spans="20:20" x14ac:dyDescent="0.2">
      <c r="T1953" t="s">
        <v>2175</v>
      </c>
    </row>
    <row r="1954" spans="20:20" x14ac:dyDescent="0.2">
      <c r="T1954" t="s">
        <v>2176</v>
      </c>
    </row>
    <row r="1955" spans="20:20" x14ac:dyDescent="0.2">
      <c r="T1955" t="s">
        <v>2177</v>
      </c>
    </row>
    <row r="1956" spans="20:20" x14ac:dyDescent="0.2">
      <c r="T1956" t="s">
        <v>2178</v>
      </c>
    </row>
    <row r="1957" spans="20:20" x14ac:dyDescent="0.2">
      <c r="T1957" t="s">
        <v>2179</v>
      </c>
    </row>
    <row r="1958" spans="20:20" x14ac:dyDescent="0.2">
      <c r="T1958" t="s">
        <v>2180</v>
      </c>
    </row>
    <row r="1959" spans="20:20" x14ac:dyDescent="0.2">
      <c r="T1959" t="s">
        <v>2181</v>
      </c>
    </row>
    <row r="1960" spans="20:20" x14ac:dyDescent="0.2">
      <c r="T1960" t="s">
        <v>2182</v>
      </c>
    </row>
    <row r="1961" spans="20:20" x14ac:dyDescent="0.2">
      <c r="T1961" t="s">
        <v>2183</v>
      </c>
    </row>
    <row r="1962" spans="20:20" x14ac:dyDescent="0.2">
      <c r="T1962" t="s">
        <v>2184</v>
      </c>
    </row>
    <row r="1963" spans="20:20" x14ac:dyDescent="0.2">
      <c r="T1963" t="s">
        <v>2185</v>
      </c>
    </row>
    <row r="1964" spans="20:20" x14ac:dyDescent="0.2">
      <c r="T1964" t="s">
        <v>2186</v>
      </c>
    </row>
    <row r="1965" spans="20:20" x14ac:dyDescent="0.2">
      <c r="T1965" t="s">
        <v>2187</v>
      </c>
    </row>
    <row r="1966" spans="20:20" x14ac:dyDescent="0.2">
      <c r="T1966" t="s">
        <v>517</v>
      </c>
    </row>
    <row r="1967" spans="20:20" x14ac:dyDescent="0.2">
      <c r="T1967" t="s">
        <v>2175</v>
      </c>
    </row>
    <row r="1968" spans="20:20" x14ac:dyDescent="0.2">
      <c r="T1968" t="s">
        <v>2188</v>
      </c>
    </row>
    <row r="1969" spans="20:20" x14ac:dyDescent="0.2">
      <c r="T1969" t="s">
        <v>2189</v>
      </c>
    </row>
    <row r="1970" spans="20:20" x14ac:dyDescent="0.2">
      <c r="T1970" t="s">
        <v>2190</v>
      </c>
    </row>
    <row r="1971" spans="20:20" x14ac:dyDescent="0.2">
      <c r="T1971" t="s">
        <v>2191</v>
      </c>
    </row>
    <row r="1972" spans="20:20" x14ac:dyDescent="0.2">
      <c r="T1972" t="s">
        <v>2192</v>
      </c>
    </row>
    <row r="1973" spans="20:20" x14ac:dyDescent="0.2">
      <c r="T1973" t="s">
        <v>2193</v>
      </c>
    </row>
    <row r="1974" spans="20:20" x14ac:dyDescent="0.2">
      <c r="T1974" t="s">
        <v>2194</v>
      </c>
    </row>
    <row r="1975" spans="20:20" x14ac:dyDescent="0.2">
      <c r="T1975" t="s">
        <v>2195</v>
      </c>
    </row>
    <row r="1976" spans="20:20" x14ac:dyDescent="0.2">
      <c r="T1976" t="s">
        <v>2196</v>
      </c>
    </row>
    <row r="1977" spans="20:20" x14ac:dyDescent="0.2">
      <c r="T1977" t="s">
        <v>2197</v>
      </c>
    </row>
    <row r="1978" spans="20:20" x14ac:dyDescent="0.2">
      <c r="T1978" t="s">
        <v>2198</v>
      </c>
    </row>
    <row r="1979" spans="20:20" x14ac:dyDescent="0.2">
      <c r="T1979" t="s">
        <v>2199</v>
      </c>
    </row>
    <row r="1980" spans="20:20" x14ac:dyDescent="0.2">
      <c r="T1980" t="s">
        <v>2200</v>
      </c>
    </row>
    <row r="1981" spans="20:20" x14ac:dyDescent="0.2">
      <c r="T1981" t="s">
        <v>2201</v>
      </c>
    </row>
    <row r="1982" spans="20:20" x14ac:dyDescent="0.2">
      <c r="T1982" t="s">
        <v>2202</v>
      </c>
    </row>
    <row r="1983" spans="20:20" x14ac:dyDescent="0.2">
      <c r="T1983" t="s">
        <v>2176</v>
      </c>
    </row>
    <row r="1984" spans="20:20" x14ac:dyDescent="0.2">
      <c r="T1984" t="s">
        <v>2203</v>
      </c>
    </row>
    <row r="1985" spans="20:20" x14ac:dyDescent="0.2">
      <c r="T1985" t="s">
        <v>2204</v>
      </c>
    </row>
    <row r="1986" spans="20:20" x14ac:dyDescent="0.2">
      <c r="T1986" t="s">
        <v>2205</v>
      </c>
    </row>
    <row r="1987" spans="20:20" x14ac:dyDescent="0.2">
      <c r="T1987" t="s">
        <v>2206</v>
      </c>
    </row>
    <row r="1988" spans="20:20" x14ac:dyDescent="0.2">
      <c r="T1988" t="s">
        <v>2207</v>
      </c>
    </row>
    <row r="1989" spans="20:20" x14ac:dyDescent="0.2">
      <c r="T1989" t="s">
        <v>2208</v>
      </c>
    </row>
    <row r="1990" spans="20:20" x14ac:dyDescent="0.2">
      <c r="T1990" t="s">
        <v>2209</v>
      </c>
    </row>
    <row r="1991" spans="20:20" x14ac:dyDescent="0.2">
      <c r="T1991" t="s">
        <v>2210</v>
      </c>
    </row>
    <row r="1992" spans="20:20" x14ac:dyDescent="0.2">
      <c r="T1992" t="s">
        <v>2211</v>
      </c>
    </row>
    <row r="1993" spans="20:20" x14ac:dyDescent="0.2">
      <c r="T1993" t="s">
        <v>2212</v>
      </c>
    </row>
    <row r="1994" spans="20:20" x14ac:dyDescent="0.2">
      <c r="T1994" t="s">
        <v>2213</v>
      </c>
    </row>
    <row r="1995" spans="20:20" x14ac:dyDescent="0.2">
      <c r="T1995" t="s">
        <v>2214</v>
      </c>
    </row>
    <row r="1996" spans="20:20" x14ac:dyDescent="0.2">
      <c r="T1996" t="s">
        <v>517</v>
      </c>
    </row>
    <row r="1997" spans="20:20" x14ac:dyDescent="0.2">
      <c r="T1997" t="s">
        <v>2184</v>
      </c>
    </row>
    <row r="1998" spans="20:20" x14ac:dyDescent="0.2">
      <c r="T1998" t="s">
        <v>2215</v>
      </c>
    </row>
    <row r="1999" spans="20:20" x14ac:dyDescent="0.2">
      <c r="T1999" t="s">
        <v>2216</v>
      </c>
    </row>
    <row r="2000" spans="20:20" x14ac:dyDescent="0.2">
      <c r="T2000" t="s">
        <v>2217</v>
      </c>
    </row>
    <row r="2001" spans="20:20" x14ac:dyDescent="0.2">
      <c r="T2001" t="s">
        <v>472</v>
      </c>
    </row>
    <row r="2002" spans="20:20" x14ac:dyDescent="0.2">
      <c r="T2002" t="s">
        <v>473</v>
      </c>
    </row>
    <row r="2003" spans="20:20" x14ac:dyDescent="0.2">
      <c r="T2003" t="s">
        <v>2218</v>
      </c>
    </row>
    <row r="2004" spans="20:20" x14ac:dyDescent="0.2">
      <c r="T2004" t="s">
        <v>2219</v>
      </c>
    </row>
    <row r="2005" spans="20:20" x14ac:dyDescent="0.2">
      <c r="T2005" t="s">
        <v>2220</v>
      </c>
    </row>
    <row r="2006" spans="20:20" x14ac:dyDescent="0.2">
      <c r="T2006" t="s">
        <v>2221</v>
      </c>
    </row>
    <row r="2007" spans="20:20" x14ac:dyDescent="0.2">
      <c r="T2007" t="s">
        <v>2222</v>
      </c>
    </row>
    <row r="2008" spans="20:20" x14ac:dyDescent="0.2">
      <c r="T2008" t="s">
        <v>2223</v>
      </c>
    </row>
    <row r="2009" spans="20:20" x14ac:dyDescent="0.2">
      <c r="T2009" t="s">
        <v>2224</v>
      </c>
    </row>
    <row r="2010" spans="20:20" x14ac:dyDescent="0.2">
      <c r="T2010" t="s">
        <v>2225</v>
      </c>
    </row>
    <row r="2011" spans="20:20" x14ac:dyDescent="0.2">
      <c r="T2011" t="s">
        <v>2226</v>
      </c>
    </row>
    <row r="2012" spans="20:20" x14ac:dyDescent="0.2">
      <c r="T2012" t="s">
        <v>2227</v>
      </c>
    </row>
    <row r="2013" spans="20:20" x14ac:dyDescent="0.2">
      <c r="T2013" t="s">
        <v>2228</v>
      </c>
    </row>
    <row r="2014" spans="20:20" x14ac:dyDescent="0.2">
      <c r="T2014" t="s">
        <v>2229</v>
      </c>
    </row>
    <row r="2015" spans="20:20" x14ac:dyDescent="0.2">
      <c r="T2015" t="s">
        <v>496</v>
      </c>
    </row>
    <row r="2016" spans="20:20" x14ac:dyDescent="0.2">
      <c r="T2016" t="s">
        <v>2230</v>
      </c>
    </row>
    <row r="2017" spans="20:20" x14ac:dyDescent="0.2">
      <c r="T2017" t="s">
        <v>2231</v>
      </c>
    </row>
    <row r="2018" spans="20:20" x14ac:dyDescent="0.2">
      <c r="T2018" t="s">
        <v>510</v>
      </c>
    </row>
    <row r="2019" spans="20:20" x14ac:dyDescent="0.2">
      <c r="T2019" t="s">
        <v>2232</v>
      </c>
    </row>
    <row r="2020" spans="20:20" x14ac:dyDescent="0.2">
      <c r="T2020" t="s">
        <v>2233</v>
      </c>
    </row>
    <row r="2021" spans="20:20" x14ac:dyDescent="0.2">
      <c r="T2021" t="s">
        <v>510</v>
      </c>
    </row>
    <row r="2022" spans="20:20" x14ac:dyDescent="0.2">
      <c r="T2022" t="s">
        <v>2234</v>
      </c>
    </row>
    <row r="2023" spans="20:20" x14ac:dyDescent="0.2">
      <c r="T2023" t="s">
        <v>2235</v>
      </c>
    </row>
    <row r="2024" spans="20:20" x14ac:dyDescent="0.2">
      <c r="T2024" t="s">
        <v>2234</v>
      </c>
    </row>
    <row r="2025" spans="20:20" x14ac:dyDescent="0.2">
      <c r="T2025" t="s">
        <v>2236</v>
      </c>
    </row>
    <row r="2026" spans="20:20" x14ac:dyDescent="0.2">
      <c r="T2026" t="s">
        <v>2237</v>
      </c>
    </row>
    <row r="2027" spans="20:20" x14ac:dyDescent="0.2">
      <c r="T2027" t="s">
        <v>2238</v>
      </c>
    </row>
    <row r="2028" spans="20:20" x14ac:dyDescent="0.2">
      <c r="T2028" t="s">
        <v>2239</v>
      </c>
    </row>
    <row r="2029" spans="20:20" x14ac:dyDescent="0.2">
      <c r="T2029" t="s">
        <v>2240</v>
      </c>
    </row>
    <row r="2030" spans="20:20" x14ac:dyDescent="0.2">
      <c r="T2030" t="s">
        <v>2241</v>
      </c>
    </row>
    <row r="2031" spans="20:20" x14ac:dyDescent="0.2">
      <c r="T2031" t="s">
        <v>2242</v>
      </c>
    </row>
    <row r="2032" spans="20:20" x14ac:dyDescent="0.2">
      <c r="T2032" t="s">
        <v>2243</v>
      </c>
    </row>
    <row r="2033" spans="20:20" x14ac:dyDescent="0.2">
      <c r="T2033" t="s">
        <v>2244</v>
      </c>
    </row>
    <row r="2034" spans="20:20" x14ac:dyDescent="0.2">
      <c r="T2034" t="s">
        <v>2245</v>
      </c>
    </row>
    <row r="2035" spans="20:20" x14ac:dyDescent="0.2">
      <c r="T2035" t="s">
        <v>510</v>
      </c>
    </row>
    <row r="2036" spans="20:20" x14ac:dyDescent="0.2">
      <c r="T2036" t="s">
        <v>2234</v>
      </c>
    </row>
    <row r="2037" spans="20:20" x14ac:dyDescent="0.2">
      <c r="T2037" t="s">
        <v>2246</v>
      </c>
    </row>
    <row r="2038" spans="20:20" x14ac:dyDescent="0.2">
      <c r="T2038" t="s">
        <v>2247</v>
      </c>
    </row>
    <row r="2039" spans="20:20" x14ac:dyDescent="0.2">
      <c r="T2039" t="s">
        <v>510</v>
      </c>
    </row>
    <row r="2040" spans="20:20" x14ac:dyDescent="0.2">
      <c r="T2040" t="s">
        <v>476</v>
      </c>
    </row>
    <row r="2041" spans="20:20" x14ac:dyDescent="0.2">
      <c r="T2041" t="s">
        <v>2248</v>
      </c>
    </row>
    <row r="2042" spans="20:20" x14ac:dyDescent="0.2">
      <c r="T2042" t="s">
        <v>2249</v>
      </c>
    </row>
    <row r="2043" spans="20:20" x14ac:dyDescent="0.2">
      <c r="T2043" t="s">
        <v>2250</v>
      </c>
    </row>
    <row r="2044" spans="20:20" x14ac:dyDescent="0.2">
      <c r="T2044" t="s">
        <v>2251</v>
      </c>
    </row>
    <row r="2045" spans="20:20" x14ac:dyDescent="0.2">
      <c r="T2045" t="s">
        <v>2252</v>
      </c>
    </row>
    <row r="2046" spans="20:20" x14ac:dyDescent="0.2">
      <c r="T2046" t="s">
        <v>2253</v>
      </c>
    </row>
    <row r="2047" spans="20:20" x14ac:dyDescent="0.2">
      <c r="T2047" t="s">
        <v>2254</v>
      </c>
    </row>
    <row r="2048" spans="20:20" x14ac:dyDescent="0.2">
      <c r="T2048" t="s">
        <v>2255</v>
      </c>
    </row>
    <row r="2049" spans="20:20" x14ac:dyDescent="0.2">
      <c r="T2049" t="s">
        <v>2256</v>
      </c>
    </row>
    <row r="2050" spans="20:20" x14ac:dyDescent="0.2">
      <c r="T2050" t="s">
        <v>2257</v>
      </c>
    </row>
    <row r="2051" spans="20:20" x14ac:dyDescent="0.2">
      <c r="T2051" t="s">
        <v>2258</v>
      </c>
    </row>
    <row r="2052" spans="20:20" x14ac:dyDescent="0.2">
      <c r="T2052" t="s">
        <v>2259</v>
      </c>
    </row>
    <row r="2053" spans="20:20" x14ac:dyDescent="0.2">
      <c r="T2053" t="s">
        <v>2260</v>
      </c>
    </row>
    <row r="2054" spans="20:20" x14ac:dyDescent="0.2">
      <c r="T2054" t="s">
        <v>472</v>
      </c>
    </row>
    <row r="2055" spans="20:20" x14ac:dyDescent="0.2">
      <c r="T2055" t="s">
        <v>473</v>
      </c>
    </row>
    <row r="2056" spans="20:20" x14ac:dyDescent="0.2">
      <c r="T2056" t="s">
        <v>2261</v>
      </c>
    </row>
    <row r="2057" spans="20:20" x14ac:dyDescent="0.2">
      <c r="T2057" t="s">
        <v>2262</v>
      </c>
    </row>
    <row r="2058" spans="20:20" x14ac:dyDescent="0.2">
      <c r="T2058" t="s">
        <v>2263</v>
      </c>
    </row>
    <row r="2059" spans="20:20" x14ac:dyDescent="0.2">
      <c r="T2059" t="s">
        <v>2264</v>
      </c>
    </row>
    <row r="2060" spans="20:20" x14ac:dyDescent="0.2">
      <c r="T2060" t="s">
        <v>2265</v>
      </c>
    </row>
    <row r="2061" spans="20:20" x14ac:dyDescent="0.2">
      <c r="T2061" t="s">
        <v>2266</v>
      </c>
    </row>
    <row r="2062" spans="20:20" x14ac:dyDescent="0.2">
      <c r="T2062" t="s">
        <v>2267</v>
      </c>
    </row>
    <row r="2063" spans="20:20" x14ac:dyDescent="0.2">
      <c r="T2063" t="s">
        <v>2268</v>
      </c>
    </row>
    <row r="2064" spans="20:20" x14ac:dyDescent="0.2">
      <c r="T2064" t="s">
        <v>2269</v>
      </c>
    </row>
    <row r="2065" spans="20:20" x14ac:dyDescent="0.2">
      <c r="T2065" t="s">
        <v>2270</v>
      </c>
    </row>
    <row r="2066" spans="20:20" x14ac:dyDescent="0.2">
      <c r="T2066" t="s">
        <v>2271</v>
      </c>
    </row>
    <row r="2067" spans="20:20" x14ac:dyDescent="0.2">
      <c r="T2067" t="s">
        <v>2272</v>
      </c>
    </row>
    <row r="2068" spans="20:20" x14ac:dyDescent="0.2">
      <c r="T2068" t="s">
        <v>2273</v>
      </c>
    </row>
    <row r="2069" spans="20:20" x14ac:dyDescent="0.2">
      <c r="T2069" t="s">
        <v>2274</v>
      </c>
    </row>
    <row r="2070" spans="20:20" x14ac:dyDescent="0.2">
      <c r="T2070" t="s">
        <v>2275</v>
      </c>
    </row>
    <row r="2071" spans="20:20" x14ac:dyDescent="0.2">
      <c r="T2071" t="s">
        <v>2276</v>
      </c>
    </row>
    <row r="2072" spans="20:20" x14ac:dyDescent="0.2">
      <c r="T2072" t="s">
        <v>2277</v>
      </c>
    </row>
    <row r="2073" spans="20:20" x14ac:dyDescent="0.2">
      <c r="T2073" t="s">
        <v>472</v>
      </c>
    </row>
    <row r="2074" spans="20:20" x14ac:dyDescent="0.2">
      <c r="T2074" t="s">
        <v>473</v>
      </c>
    </row>
    <row r="2075" spans="20:20" x14ac:dyDescent="0.2">
      <c r="T2075" t="s">
        <v>2278</v>
      </c>
    </row>
    <row r="2076" spans="20:20" x14ac:dyDescent="0.2">
      <c r="T2076" t="s">
        <v>2279</v>
      </c>
    </row>
    <row r="2077" spans="20:20" x14ac:dyDescent="0.2">
      <c r="T2077" t="s">
        <v>2280</v>
      </c>
    </row>
    <row r="2078" spans="20:20" x14ac:dyDescent="0.2">
      <c r="T2078" t="s">
        <v>1661</v>
      </c>
    </row>
    <row r="2079" spans="20:20" x14ac:dyDescent="0.2">
      <c r="T2079" t="s">
        <v>2281</v>
      </c>
    </row>
    <row r="2080" spans="20:20" x14ac:dyDescent="0.2">
      <c r="T2080" t="s">
        <v>2282</v>
      </c>
    </row>
    <row r="2081" spans="20:20" x14ac:dyDescent="0.2">
      <c r="T2081" t="s">
        <v>2283</v>
      </c>
    </row>
    <row r="2082" spans="20:20" x14ac:dyDescent="0.2">
      <c r="T2082" t="s">
        <v>2284</v>
      </c>
    </row>
    <row r="2083" spans="20:20" x14ac:dyDescent="0.2">
      <c r="T2083" t="s">
        <v>2285</v>
      </c>
    </row>
    <row r="2084" spans="20:20" x14ac:dyDescent="0.2">
      <c r="T2084" t="s">
        <v>2286</v>
      </c>
    </row>
    <row r="2085" spans="20:20" x14ac:dyDescent="0.2">
      <c r="T2085" t="s">
        <v>2287</v>
      </c>
    </row>
    <row r="2086" spans="20:20" x14ac:dyDescent="0.2">
      <c r="T2086" t="s">
        <v>2288</v>
      </c>
    </row>
    <row r="2087" spans="20:20" x14ac:dyDescent="0.2">
      <c r="T2087" t="s">
        <v>863</v>
      </c>
    </row>
    <row r="2088" spans="20:20" x14ac:dyDescent="0.2">
      <c r="T2088" t="s">
        <v>2289</v>
      </c>
    </row>
    <row r="2089" spans="20:20" x14ac:dyDescent="0.2">
      <c r="T2089" t="s">
        <v>2290</v>
      </c>
    </row>
    <row r="2090" spans="20:20" x14ac:dyDescent="0.2">
      <c r="T2090" t="s">
        <v>2291</v>
      </c>
    </row>
    <row r="2091" spans="20:20" x14ac:dyDescent="0.2">
      <c r="T2091" t="s">
        <v>2292</v>
      </c>
    </row>
    <row r="2092" spans="20:20" x14ac:dyDescent="0.2">
      <c r="T2092" t="s">
        <v>2293</v>
      </c>
    </row>
    <row r="2093" spans="20:20" x14ac:dyDescent="0.2">
      <c r="T2093" t="s">
        <v>2294</v>
      </c>
    </row>
    <row r="2094" spans="20:20" x14ac:dyDescent="0.2">
      <c r="T2094" t="s">
        <v>2295</v>
      </c>
    </row>
    <row r="2095" spans="20:20" x14ac:dyDescent="0.2">
      <c r="T2095" t="s">
        <v>2296</v>
      </c>
    </row>
    <row r="2096" spans="20:20" x14ac:dyDescent="0.2">
      <c r="T2096" t="s">
        <v>2297</v>
      </c>
    </row>
    <row r="2097" spans="20:20" x14ac:dyDescent="0.2">
      <c r="T2097" t="s">
        <v>2298</v>
      </c>
    </row>
    <row r="2098" spans="20:20" x14ac:dyDescent="0.2">
      <c r="T2098" t="s">
        <v>2299</v>
      </c>
    </row>
    <row r="2099" spans="20:20" x14ac:dyDescent="0.2">
      <c r="T2099" t="s">
        <v>2300</v>
      </c>
    </row>
    <row r="2100" spans="20:20" x14ac:dyDescent="0.2">
      <c r="T2100" t="s">
        <v>2301</v>
      </c>
    </row>
    <row r="2101" spans="20:20" x14ac:dyDescent="0.2">
      <c r="T2101" t="s">
        <v>2302</v>
      </c>
    </row>
    <row r="2102" spans="20:20" x14ac:dyDescent="0.2">
      <c r="T2102" t="s">
        <v>2303</v>
      </c>
    </row>
    <row r="2103" spans="20:20" x14ac:dyDescent="0.2">
      <c r="T2103" t="s">
        <v>2304</v>
      </c>
    </row>
    <row r="2104" spans="20:20" x14ac:dyDescent="0.2">
      <c r="T2104" t="s">
        <v>2305</v>
      </c>
    </row>
    <row r="2105" spans="20:20" x14ac:dyDescent="0.2">
      <c r="T2105" t="s">
        <v>2306</v>
      </c>
    </row>
    <row r="2106" spans="20:20" x14ac:dyDescent="0.2">
      <c r="T2106" t="s">
        <v>2307</v>
      </c>
    </row>
    <row r="2107" spans="20:20" x14ac:dyDescent="0.2">
      <c r="T2107" t="s">
        <v>2308</v>
      </c>
    </row>
    <row r="2108" spans="20:20" x14ac:dyDescent="0.2">
      <c r="T2108" t="s">
        <v>2309</v>
      </c>
    </row>
    <row r="2109" spans="20:20" x14ac:dyDescent="0.2">
      <c r="T2109" t="s">
        <v>2310</v>
      </c>
    </row>
    <row r="2110" spans="20:20" x14ac:dyDescent="0.2">
      <c r="T2110" t="s">
        <v>2311</v>
      </c>
    </row>
    <row r="2111" spans="20:20" x14ac:dyDescent="0.2">
      <c r="T2111" t="s">
        <v>2312</v>
      </c>
    </row>
    <row r="2112" spans="20:20" x14ac:dyDescent="0.2">
      <c r="T2112" t="s">
        <v>2313</v>
      </c>
    </row>
    <row r="2113" spans="20:20" x14ac:dyDescent="0.2">
      <c r="T2113" t="s">
        <v>2314</v>
      </c>
    </row>
    <row r="2114" spans="20:20" x14ac:dyDescent="0.2">
      <c r="T2114" t="s">
        <v>2315</v>
      </c>
    </row>
    <row r="2115" spans="20:20" x14ac:dyDescent="0.2">
      <c r="T2115" t="s">
        <v>2316</v>
      </c>
    </row>
    <row r="2116" spans="20:20" x14ac:dyDescent="0.2">
      <c r="T2116" t="s">
        <v>2317</v>
      </c>
    </row>
    <row r="2117" spans="20:20" x14ac:dyDescent="0.2">
      <c r="T2117" t="s">
        <v>2318</v>
      </c>
    </row>
    <row r="2118" spans="20:20" x14ac:dyDescent="0.2">
      <c r="T2118" t="s">
        <v>2319</v>
      </c>
    </row>
    <row r="2119" spans="20:20" x14ac:dyDescent="0.2">
      <c r="T2119" t="s">
        <v>2320</v>
      </c>
    </row>
    <row r="2120" spans="20:20" x14ac:dyDescent="0.2">
      <c r="T2120" t="s">
        <v>2321</v>
      </c>
    </row>
    <row r="2121" spans="20:20" x14ac:dyDescent="0.2">
      <c r="T2121" t="s">
        <v>2322</v>
      </c>
    </row>
    <row r="2122" spans="20:20" x14ac:dyDescent="0.2">
      <c r="T2122" t="s">
        <v>2323</v>
      </c>
    </row>
    <row r="2123" spans="20:20" x14ac:dyDescent="0.2">
      <c r="T2123" t="s">
        <v>2324</v>
      </c>
    </row>
    <row r="2124" spans="20:20" x14ac:dyDescent="0.2">
      <c r="T2124" t="s">
        <v>2325</v>
      </c>
    </row>
    <row r="2125" spans="20:20" x14ac:dyDescent="0.2">
      <c r="T2125" t="s">
        <v>2326</v>
      </c>
    </row>
    <row r="2126" spans="20:20" x14ac:dyDescent="0.2">
      <c r="T2126" t="s">
        <v>2327</v>
      </c>
    </row>
    <row r="2127" spans="20:20" x14ac:dyDescent="0.2">
      <c r="T2127" t="s">
        <v>2328</v>
      </c>
    </row>
    <row r="2128" spans="20:20" x14ac:dyDescent="0.2">
      <c r="T2128" t="s">
        <v>2329</v>
      </c>
    </row>
    <row r="2129" spans="20:20" x14ac:dyDescent="0.2">
      <c r="T2129" t="s">
        <v>2330</v>
      </c>
    </row>
    <row r="2130" spans="20:20" x14ac:dyDescent="0.2">
      <c r="T2130" t="s">
        <v>2331</v>
      </c>
    </row>
    <row r="2131" spans="20:20" x14ac:dyDescent="0.2">
      <c r="T2131" t="s">
        <v>2332</v>
      </c>
    </row>
    <row r="2132" spans="20:20" x14ac:dyDescent="0.2">
      <c r="T2132" t="s">
        <v>2333</v>
      </c>
    </row>
    <row r="2133" spans="20:20" x14ac:dyDescent="0.2">
      <c r="T2133" t="s">
        <v>2334</v>
      </c>
    </row>
    <row r="2134" spans="20:20" x14ac:dyDescent="0.2">
      <c r="T2134" t="s">
        <v>2335</v>
      </c>
    </row>
    <row r="2135" spans="20:20" x14ac:dyDescent="0.2">
      <c r="T2135" t="s">
        <v>2336</v>
      </c>
    </row>
    <row r="2136" spans="20:20" x14ac:dyDescent="0.2">
      <c r="T2136" t="s">
        <v>2337</v>
      </c>
    </row>
    <row r="2137" spans="20:20" x14ac:dyDescent="0.2">
      <c r="T2137" t="s">
        <v>2338</v>
      </c>
    </row>
    <row r="2138" spans="20:20" x14ac:dyDescent="0.2">
      <c r="T2138" t="s">
        <v>2339</v>
      </c>
    </row>
    <row r="2139" spans="20:20" x14ac:dyDescent="0.2">
      <c r="T2139" t="s">
        <v>2340</v>
      </c>
    </row>
    <row r="2140" spans="20:20" x14ac:dyDescent="0.2">
      <c r="T2140" t="s">
        <v>2341</v>
      </c>
    </row>
    <row r="2141" spans="20:20" x14ac:dyDescent="0.2">
      <c r="T2141" t="s">
        <v>2342</v>
      </c>
    </row>
    <row r="2142" spans="20:20" x14ac:dyDescent="0.2">
      <c r="T2142" t="s">
        <v>2343</v>
      </c>
    </row>
    <row r="2143" spans="20:20" x14ac:dyDescent="0.2">
      <c r="T2143" t="s">
        <v>2344</v>
      </c>
    </row>
    <row r="2144" spans="20:20" x14ac:dyDescent="0.2">
      <c r="T2144" t="s">
        <v>2345</v>
      </c>
    </row>
    <row r="2145" spans="20:20" x14ac:dyDescent="0.2">
      <c r="T2145" t="s">
        <v>2346</v>
      </c>
    </row>
    <row r="2146" spans="20:20" x14ac:dyDescent="0.2">
      <c r="T2146" t="s">
        <v>2347</v>
      </c>
    </row>
    <row r="2147" spans="20:20" x14ac:dyDescent="0.2">
      <c r="T2147" t="s">
        <v>2348</v>
      </c>
    </row>
    <row r="2148" spans="20:20" x14ac:dyDescent="0.2">
      <c r="T2148" t="s">
        <v>2349</v>
      </c>
    </row>
    <row r="2149" spans="20:20" x14ac:dyDescent="0.2">
      <c r="T2149" t="s">
        <v>2350</v>
      </c>
    </row>
    <row r="2150" spans="20:20" x14ac:dyDescent="0.2">
      <c r="T2150" t="s">
        <v>2351</v>
      </c>
    </row>
    <row r="2151" spans="20:20" x14ac:dyDescent="0.2">
      <c r="T2151" t="s">
        <v>2352</v>
      </c>
    </row>
    <row r="2152" spans="20:20" x14ac:dyDescent="0.2">
      <c r="T2152" t="s">
        <v>2353</v>
      </c>
    </row>
    <row r="2153" spans="20:20" x14ac:dyDescent="0.2">
      <c r="T2153" t="s">
        <v>2354</v>
      </c>
    </row>
    <row r="2154" spans="20:20" x14ac:dyDescent="0.2">
      <c r="T2154" t="s">
        <v>2355</v>
      </c>
    </row>
    <row r="2155" spans="20:20" x14ac:dyDescent="0.2">
      <c r="T2155" t="s">
        <v>2288</v>
      </c>
    </row>
    <row r="2156" spans="20:20" x14ac:dyDescent="0.2">
      <c r="T2156" t="s">
        <v>2356</v>
      </c>
    </row>
    <row r="2157" spans="20:20" x14ac:dyDescent="0.2">
      <c r="T2157" t="s">
        <v>2357</v>
      </c>
    </row>
    <row r="2158" spans="20:20" x14ac:dyDescent="0.2">
      <c r="T2158" t="s">
        <v>2358</v>
      </c>
    </row>
    <row r="2159" spans="20:20" x14ac:dyDescent="0.2">
      <c r="T2159" t="s">
        <v>2359</v>
      </c>
    </row>
    <row r="2160" spans="20:20" x14ac:dyDescent="0.2">
      <c r="T2160" t="s">
        <v>2360</v>
      </c>
    </row>
    <row r="2161" spans="20:20" x14ac:dyDescent="0.2">
      <c r="T2161" t="s">
        <v>2361</v>
      </c>
    </row>
    <row r="2162" spans="20:20" x14ac:dyDescent="0.2">
      <c r="T2162" t="s">
        <v>2362</v>
      </c>
    </row>
    <row r="2163" spans="20:20" x14ac:dyDescent="0.2">
      <c r="T2163" t="s">
        <v>2363</v>
      </c>
    </row>
    <row r="2164" spans="20:20" x14ac:dyDescent="0.2">
      <c r="T2164" t="s">
        <v>2364</v>
      </c>
    </row>
    <row r="2165" spans="20:20" x14ac:dyDescent="0.2">
      <c r="T2165" t="s">
        <v>2365</v>
      </c>
    </row>
    <row r="2166" spans="20:20" x14ac:dyDescent="0.2">
      <c r="T2166" t="s">
        <v>2366</v>
      </c>
    </row>
    <row r="2167" spans="20:20" x14ac:dyDescent="0.2">
      <c r="T2167" t="s">
        <v>2367</v>
      </c>
    </row>
    <row r="2168" spans="20:20" x14ac:dyDescent="0.2">
      <c r="T2168" t="s">
        <v>2368</v>
      </c>
    </row>
    <row r="2169" spans="20:20" x14ac:dyDescent="0.2">
      <c r="T2169" t="s">
        <v>2369</v>
      </c>
    </row>
    <row r="2170" spans="20:20" x14ac:dyDescent="0.2">
      <c r="T2170" t="s">
        <v>2370</v>
      </c>
    </row>
    <row r="2171" spans="20:20" x14ac:dyDescent="0.2">
      <c r="T2171" t="s">
        <v>2371</v>
      </c>
    </row>
    <row r="2172" spans="20:20" x14ac:dyDescent="0.2">
      <c r="T2172" t="s">
        <v>2372</v>
      </c>
    </row>
    <row r="2173" spans="20:20" x14ac:dyDescent="0.2">
      <c r="T2173" t="s">
        <v>2373</v>
      </c>
    </row>
    <row r="2174" spans="20:20" x14ac:dyDescent="0.2">
      <c r="T2174" t="s">
        <v>2374</v>
      </c>
    </row>
    <row r="2175" spans="20:20" x14ac:dyDescent="0.2">
      <c r="T2175" t="s">
        <v>2375</v>
      </c>
    </row>
    <row r="2176" spans="20:20" x14ac:dyDescent="0.2">
      <c r="T2176" t="s">
        <v>2376</v>
      </c>
    </row>
    <row r="2177" spans="20:20" x14ac:dyDescent="0.2">
      <c r="T2177" t="s">
        <v>2377</v>
      </c>
    </row>
    <row r="2178" spans="20:20" x14ac:dyDescent="0.2">
      <c r="T2178" t="s">
        <v>2378</v>
      </c>
    </row>
    <row r="2179" spans="20:20" x14ac:dyDescent="0.2">
      <c r="T2179" t="s">
        <v>2379</v>
      </c>
    </row>
    <row r="2180" spans="20:20" x14ac:dyDescent="0.2">
      <c r="T2180" t="s">
        <v>2380</v>
      </c>
    </row>
    <row r="2181" spans="20:20" x14ac:dyDescent="0.2">
      <c r="T2181" t="s">
        <v>2381</v>
      </c>
    </row>
    <row r="2182" spans="20:20" x14ac:dyDescent="0.2">
      <c r="T2182" t="s">
        <v>2382</v>
      </c>
    </row>
    <row r="2183" spans="20:20" x14ac:dyDescent="0.2">
      <c r="T2183" t="s">
        <v>2383</v>
      </c>
    </row>
    <row r="2184" spans="20:20" x14ac:dyDescent="0.2">
      <c r="T2184" t="s">
        <v>2384</v>
      </c>
    </row>
    <row r="2185" spans="20:20" x14ac:dyDescent="0.2">
      <c r="T2185" t="s">
        <v>2385</v>
      </c>
    </row>
    <row r="2186" spans="20:20" x14ac:dyDescent="0.2">
      <c r="T2186" t="s">
        <v>2386</v>
      </c>
    </row>
    <row r="2187" spans="20:20" x14ac:dyDescent="0.2">
      <c r="T2187" t="s">
        <v>2387</v>
      </c>
    </row>
    <row r="2188" spans="20:20" x14ac:dyDescent="0.2">
      <c r="T2188" t="s">
        <v>2388</v>
      </c>
    </row>
    <row r="2189" spans="20:20" x14ac:dyDescent="0.2">
      <c r="T2189" t="s">
        <v>2389</v>
      </c>
    </row>
    <row r="2190" spans="20:20" x14ac:dyDescent="0.2">
      <c r="T2190" t="s">
        <v>2390</v>
      </c>
    </row>
    <row r="2191" spans="20:20" x14ac:dyDescent="0.2">
      <c r="T2191" t="s">
        <v>2391</v>
      </c>
    </row>
    <row r="2192" spans="20:20" x14ac:dyDescent="0.2">
      <c r="T2192" t="s">
        <v>2392</v>
      </c>
    </row>
    <row r="2193" spans="20:20" x14ac:dyDescent="0.2">
      <c r="T2193" t="s">
        <v>2393</v>
      </c>
    </row>
    <row r="2194" spans="20:20" x14ac:dyDescent="0.2">
      <c r="T2194" t="s">
        <v>2394</v>
      </c>
    </row>
    <row r="2195" spans="20:20" x14ac:dyDescent="0.2">
      <c r="T2195" t="s">
        <v>2395</v>
      </c>
    </row>
    <row r="2196" spans="20:20" x14ac:dyDescent="0.2">
      <c r="T2196" t="s">
        <v>2396</v>
      </c>
    </row>
    <row r="2197" spans="20:20" x14ac:dyDescent="0.2">
      <c r="T2197" t="s">
        <v>2397</v>
      </c>
    </row>
    <row r="2198" spans="20:20" x14ac:dyDescent="0.2">
      <c r="T2198" t="s">
        <v>2398</v>
      </c>
    </row>
    <row r="2199" spans="20:20" x14ac:dyDescent="0.2">
      <c r="T2199" t="s">
        <v>2399</v>
      </c>
    </row>
    <row r="2200" spans="20:20" x14ac:dyDescent="0.2">
      <c r="T2200" t="s">
        <v>2400</v>
      </c>
    </row>
    <row r="2201" spans="20:20" x14ac:dyDescent="0.2">
      <c r="T2201" t="s">
        <v>2401</v>
      </c>
    </row>
    <row r="2202" spans="20:20" x14ac:dyDescent="0.2">
      <c r="T2202" t="s">
        <v>2402</v>
      </c>
    </row>
    <row r="2203" spans="20:20" x14ac:dyDescent="0.2">
      <c r="T2203" t="s">
        <v>2403</v>
      </c>
    </row>
    <row r="2204" spans="20:20" x14ac:dyDescent="0.2">
      <c r="T2204" t="s">
        <v>2404</v>
      </c>
    </row>
    <row r="2205" spans="20:20" x14ac:dyDescent="0.2">
      <c r="T2205" t="s">
        <v>2405</v>
      </c>
    </row>
    <row r="2206" spans="20:20" x14ac:dyDescent="0.2">
      <c r="T2206" t="s">
        <v>2406</v>
      </c>
    </row>
    <row r="2207" spans="20:20" x14ac:dyDescent="0.2">
      <c r="T2207" t="s">
        <v>2407</v>
      </c>
    </row>
    <row r="2208" spans="20:20" x14ac:dyDescent="0.2">
      <c r="T2208" t="s">
        <v>2408</v>
      </c>
    </row>
    <row r="2209" spans="20:20" x14ac:dyDescent="0.2">
      <c r="T2209" t="s">
        <v>2409</v>
      </c>
    </row>
    <row r="2210" spans="20:20" x14ac:dyDescent="0.2">
      <c r="T2210" t="s">
        <v>2410</v>
      </c>
    </row>
    <row r="2211" spans="20:20" x14ac:dyDescent="0.2">
      <c r="T2211" t="s">
        <v>2411</v>
      </c>
    </row>
    <row r="2212" spans="20:20" x14ac:dyDescent="0.2">
      <c r="T2212" t="s">
        <v>2412</v>
      </c>
    </row>
    <row r="2213" spans="20:20" x14ac:dyDescent="0.2">
      <c r="T2213" t="s">
        <v>2413</v>
      </c>
    </row>
    <row r="2214" spans="20:20" x14ac:dyDescent="0.2">
      <c r="T2214" t="s">
        <v>2414</v>
      </c>
    </row>
    <row r="2215" spans="20:20" x14ac:dyDescent="0.2">
      <c r="T2215" t="s">
        <v>2415</v>
      </c>
    </row>
    <row r="2216" spans="20:20" x14ac:dyDescent="0.2">
      <c r="T2216" t="s">
        <v>2416</v>
      </c>
    </row>
    <row r="2217" spans="20:20" x14ac:dyDescent="0.2">
      <c r="T2217" t="s">
        <v>2417</v>
      </c>
    </row>
    <row r="2218" spans="20:20" x14ac:dyDescent="0.2">
      <c r="T2218" t="s">
        <v>2418</v>
      </c>
    </row>
    <row r="2219" spans="20:20" x14ac:dyDescent="0.2">
      <c r="T2219" t="s">
        <v>2419</v>
      </c>
    </row>
    <row r="2220" spans="20:20" x14ac:dyDescent="0.2">
      <c r="T2220" t="s">
        <v>2420</v>
      </c>
    </row>
    <row r="2221" spans="20:20" x14ac:dyDescent="0.2">
      <c r="T2221" t="s">
        <v>2421</v>
      </c>
    </row>
    <row r="2222" spans="20:20" x14ac:dyDescent="0.2">
      <c r="T2222" t="s">
        <v>2422</v>
      </c>
    </row>
    <row r="2223" spans="20:20" x14ac:dyDescent="0.2">
      <c r="T2223" t="s">
        <v>2423</v>
      </c>
    </row>
    <row r="2224" spans="20:20" x14ac:dyDescent="0.2">
      <c r="T2224" t="s">
        <v>2424</v>
      </c>
    </row>
    <row r="2225" spans="20:20" x14ac:dyDescent="0.2">
      <c r="T2225" t="s">
        <v>2425</v>
      </c>
    </row>
    <row r="2226" spans="20:20" x14ac:dyDescent="0.2">
      <c r="T2226" t="s">
        <v>2426</v>
      </c>
    </row>
    <row r="2227" spans="20:20" x14ac:dyDescent="0.2">
      <c r="T2227" t="s">
        <v>2427</v>
      </c>
    </row>
    <row r="2228" spans="20:20" x14ac:dyDescent="0.2">
      <c r="T2228" t="s">
        <v>2428</v>
      </c>
    </row>
    <row r="2229" spans="20:20" x14ac:dyDescent="0.2">
      <c r="T2229" t="s">
        <v>2429</v>
      </c>
    </row>
    <row r="2230" spans="20:20" x14ac:dyDescent="0.2">
      <c r="T2230" t="s">
        <v>2430</v>
      </c>
    </row>
    <row r="2231" spans="20:20" x14ac:dyDescent="0.2">
      <c r="T2231" t="s">
        <v>2431</v>
      </c>
    </row>
    <row r="2232" spans="20:20" x14ac:dyDescent="0.2">
      <c r="T2232" t="s">
        <v>2432</v>
      </c>
    </row>
    <row r="2233" spans="20:20" x14ac:dyDescent="0.2">
      <c r="T2233" t="s">
        <v>2433</v>
      </c>
    </row>
    <row r="2234" spans="20:20" x14ac:dyDescent="0.2">
      <c r="T2234" t="s">
        <v>2434</v>
      </c>
    </row>
    <row r="2235" spans="20:20" x14ac:dyDescent="0.2">
      <c r="T2235" t="s">
        <v>2435</v>
      </c>
    </row>
    <row r="2236" spans="20:20" x14ac:dyDescent="0.2">
      <c r="T2236" t="s">
        <v>2436</v>
      </c>
    </row>
    <row r="2237" spans="20:20" x14ac:dyDescent="0.2">
      <c r="T2237" t="s">
        <v>2437</v>
      </c>
    </row>
    <row r="2238" spans="20:20" x14ac:dyDescent="0.2">
      <c r="T2238" t="s">
        <v>2438</v>
      </c>
    </row>
    <row r="2239" spans="20:20" x14ac:dyDescent="0.2">
      <c r="T2239" t="s">
        <v>2439</v>
      </c>
    </row>
    <row r="2240" spans="20:20" x14ac:dyDescent="0.2">
      <c r="T2240" t="s">
        <v>2440</v>
      </c>
    </row>
    <row r="2241" spans="20:20" x14ac:dyDescent="0.2">
      <c r="T2241" t="s">
        <v>2441</v>
      </c>
    </row>
    <row r="2242" spans="20:20" x14ac:dyDescent="0.2">
      <c r="T2242" t="s">
        <v>2442</v>
      </c>
    </row>
    <row r="2243" spans="20:20" x14ac:dyDescent="0.2">
      <c r="T2243" t="s">
        <v>2443</v>
      </c>
    </row>
    <row r="2244" spans="20:20" x14ac:dyDescent="0.2">
      <c r="T2244" t="s">
        <v>2444</v>
      </c>
    </row>
    <row r="2245" spans="20:20" x14ac:dyDescent="0.2">
      <c r="T2245" t="s">
        <v>2445</v>
      </c>
    </row>
    <row r="2246" spans="20:20" x14ac:dyDescent="0.2">
      <c r="T2246" t="s">
        <v>2446</v>
      </c>
    </row>
    <row r="2247" spans="20:20" x14ac:dyDescent="0.2">
      <c r="T2247" t="s">
        <v>2447</v>
      </c>
    </row>
    <row r="2248" spans="20:20" x14ac:dyDescent="0.2">
      <c r="T2248" t="s">
        <v>2448</v>
      </c>
    </row>
    <row r="2249" spans="20:20" x14ac:dyDescent="0.2">
      <c r="T2249" t="s">
        <v>2449</v>
      </c>
    </row>
    <row r="2250" spans="20:20" x14ac:dyDescent="0.2">
      <c r="T2250" t="s">
        <v>2445</v>
      </c>
    </row>
    <row r="2251" spans="20:20" x14ac:dyDescent="0.2">
      <c r="T2251" t="s">
        <v>2450</v>
      </c>
    </row>
    <row r="2252" spans="20:20" x14ac:dyDescent="0.2">
      <c r="T2252" t="s">
        <v>2451</v>
      </c>
    </row>
    <row r="2253" spans="20:20" x14ac:dyDescent="0.2">
      <c r="T2253" t="s">
        <v>2452</v>
      </c>
    </row>
    <row r="2254" spans="20:20" x14ac:dyDescent="0.2">
      <c r="T2254" t="s">
        <v>2453</v>
      </c>
    </row>
    <row r="2255" spans="20:20" x14ac:dyDescent="0.2">
      <c r="T2255" t="s">
        <v>2454</v>
      </c>
    </row>
    <row r="2256" spans="20:20" x14ac:dyDescent="0.2">
      <c r="T2256" t="s">
        <v>2455</v>
      </c>
    </row>
    <row r="2257" spans="20:20" x14ac:dyDescent="0.2">
      <c r="T2257" t="s">
        <v>2456</v>
      </c>
    </row>
    <row r="2258" spans="20:20" x14ac:dyDescent="0.2">
      <c r="T2258" t="s">
        <v>2457</v>
      </c>
    </row>
    <row r="2259" spans="20:20" x14ac:dyDescent="0.2">
      <c r="T2259" t="s">
        <v>2458</v>
      </c>
    </row>
    <row r="2260" spans="20:20" x14ac:dyDescent="0.2">
      <c r="T2260" t="s">
        <v>2459</v>
      </c>
    </row>
    <row r="2261" spans="20:20" x14ac:dyDescent="0.2">
      <c r="T2261" t="s">
        <v>2460</v>
      </c>
    </row>
    <row r="2262" spans="20:20" x14ac:dyDescent="0.2">
      <c r="T2262" t="s">
        <v>2288</v>
      </c>
    </row>
    <row r="2263" spans="20:20" x14ac:dyDescent="0.2">
      <c r="T2263" t="s">
        <v>1661</v>
      </c>
    </row>
    <row r="2264" spans="20:20" x14ac:dyDescent="0.2">
      <c r="T2264" t="s">
        <v>2461</v>
      </c>
    </row>
    <row r="2265" spans="20:20" x14ac:dyDescent="0.2">
      <c r="T2265" t="s">
        <v>2462</v>
      </c>
    </row>
    <row r="2266" spans="20:20" x14ac:dyDescent="0.2">
      <c r="T2266" t="s">
        <v>2463</v>
      </c>
    </row>
    <row r="2267" spans="20:20" x14ac:dyDescent="0.2">
      <c r="T2267" t="s">
        <v>2464</v>
      </c>
    </row>
    <row r="2268" spans="20:20" x14ac:dyDescent="0.2">
      <c r="T2268" t="s">
        <v>2465</v>
      </c>
    </row>
    <row r="2269" spans="20:20" x14ac:dyDescent="0.2">
      <c r="T2269" t="s">
        <v>2466</v>
      </c>
    </row>
    <row r="2270" spans="20:20" x14ac:dyDescent="0.2">
      <c r="T2270" t="s">
        <v>2467</v>
      </c>
    </row>
    <row r="2271" spans="20:20" x14ac:dyDescent="0.2">
      <c r="T2271" t="s">
        <v>2468</v>
      </c>
    </row>
    <row r="2272" spans="20:20" x14ac:dyDescent="0.2">
      <c r="T2272" t="s">
        <v>2469</v>
      </c>
    </row>
    <row r="2273" spans="20:20" x14ac:dyDescent="0.2">
      <c r="T2273" t="s">
        <v>2288</v>
      </c>
    </row>
    <row r="2274" spans="20:20" x14ac:dyDescent="0.2">
      <c r="T2274" t="s">
        <v>472</v>
      </c>
    </row>
    <row r="2275" spans="20:20" x14ac:dyDescent="0.2">
      <c r="T2275" t="s">
        <v>2470</v>
      </c>
    </row>
    <row r="2276" spans="20:20" x14ac:dyDescent="0.2">
      <c r="T2276" t="s">
        <v>2471</v>
      </c>
    </row>
    <row r="2277" spans="20:20" x14ac:dyDescent="0.2">
      <c r="T2277" t="s">
        <v>2472</v>
      </c>
    </row>
    <row r="2278" spans="20:20" x14ac:dyDescent="0.2">
      <c r="T2278" t="s">
        <v>2473</v>
      </c>
    </row>
    <row r="2279" spans="20:20" x14ac:dyDescent="0.2">
      <c r="T2279" t="s">
        <v>2474</v>
      </c>
    </row>
    <row r="2280" spans="20:20" x14ac:dyDescent="0.2">
      <c r="T2280" t="s">
        <v>2475</v>
      </c>
    </row>
    <row r="2281" spans="20:20" x14ac:dyDescent="0.2">
      <c r="T2281" t="s">
        <v>2476</v>
      </c>
    </row>
    <row r="2282" spans="20:20" x14ac:dyDescent="0.2">
      <c r="T2282" t="s">
        <v>2477</v>
      </c>
    </row>
    <row r="2283" spans="20:20" x14ac:dyDescent="0.2">
      <c r="T2283" t="s">
        <v>2478</v>
      </c>
    </row>
    <row r="2284" spans="20:20" x14ac:dyDescent="0.2">
      <c r="T2284" t="s">
        <v>2479</v>
      </c>
    </row>
    <row r="2285" spans="20:20" x14ac:dyDescent="0.2">
      <c r="T2285" t="s">
        <v>2480</v>
      </c>
    </row>
    <row r="2286" spans="20:20" x14ac:dyDescent="0.2">
      <c r="T2286" t="s">
        <v>2481</v>
      </c>
    </row>
    <row r="2287" spans="20:20" x14ac:dyDescent="0.2">
      <c r="T2287" t="s">
        <v>2482</v>
      </c>
    </row>
    <row r="2288" spans="20:20" x14ac:dyDescent="0.2">
      <c r="T2288" t="s">
        <v>2483</v>
      </c>
    </row>
    <row r="2289" spans="20:20" x14ac:dyDescent="0.2">
      <c r="T2289" t="s">
        <v>2484</v>
      </c>
    </row>
    <row r="2290" spans="20:20" x14ac:dyDescent="0.2">
      <c r="T2290" t="s">
        <v>2485</v>
      </c>
    </row>
    <row r="2291" spans="20:20" x14ac:dyDescent="0.2">
      <c r="T2291" t="s">
        <v>2486</v>
      </c>
    </row>
    <row r="2292" spans="20:20" x14ac:dyDescent="0.2">
      <c r="T2292" t="s">
        <v>2487</v>
      </c>
    </row>
    <row r="2293" spans="20:20" x14ac:dyDescent="0.2">
      <c r="T2293" t="s">
        <v>863</v>
      </c>
    </row>
    <row r="2294" spans="20:20" x14ac:dyDescent="0.2">
      <c r="T2294" t="s">
        <v>2488</v>
      </c>
    </row>
    <row r="2295" spans="20:20" x14ac:dyDescent="0.2">
      <c r="T2295" t="s">
        <v>2489</v>
      </c>
    </row>
    <row r="2296" spans="20:20" x14ac:dyDescent="0.2">
      <c r="T2296" t="s">
        <v>2490</v>
      </c>
    </row>
    <row r="2297" spans="20:20" x14ac:dyDescent="0.2">
      <c r="T2297" t="s">
        <v>2491</v>
      </c>
    </row>
    <row r="2298" spans="20:20" x14ac:dyDescent="0.2">
      <c r="T2298" t="s">
        <v>2492</v>
      </c>
    </row>
    <row r="2299" spans="20:20" x14ac:dyDescent="0.2">
      <c r="T2299" t="s">
        <v>2493</v>
      </c>
    </row>
    <row r="2300" spans="20:20" x14ac:dyDescent="0.2">
      <c r="T2300" t="s">
        <v>2494</v>
      </c>
    </row>
    <row r="2301" spans="20:20" x14ac:dyDescent="0.2">
      <c r="T2301" t="s">
        <v>2495</v>
      </c>
    </row>
    <row r="2302" spans="20:20" x14ac:dyDescent="0.2">
      <c r="T2302" t="s">
        <v>2496</v>
      </c>
    </row>
    <row r="2303" spans="20:20" x14ac:dyDescent="0.2">
      <c r="T2303" t="s">
        <v>2497</v>
      </c>
    </row>
    <row r="2304" spans="20:20" x14ac:dyDescent="0.2">
      <c r="T2304" t="s">
        <v>2493</v>
      </c>
    </row>
    <row r="2305" spans="20:20" x14ac:dyDescent="0.2">
      <c r="T2305" t="s">
        <v>2498</v>
      </c>
    </row>
    <row r="2306" spans="20:20" x14ac:dyDescent="0.2">
      <c r="T2306" t="s">
        <v>2499</v>
      </c>
    </row>
    <row r="2307" spans="20:20" x14ac:dyDescent="0.2">
      <c r="T2307" t="s">
        <v>2500</v>
      </c>
    </row>
    <row r="2308" spans="20:20" x14ac:dyDescent="0.2">
      <c r="T2308" t="s">
        <v>2501</v>
      </c>
    </row>
    <row r="2309" spans="20:20" x14ac:dyDescent="0.2">
      <c r="T2309" t="s">
        <v>2493</v>
      </c>
    </row>
    <row r="2310" spans="20:20" x14ac:dyDescent="0.2">
      <c r="T2310" t="s">
        <v>2502</v>
      </c>
    </row>
    <row r="2311" spans="20:20" x14ac:dyDescent="0.2">
      <c r="T2311" t="s">
        <v>2503</v>
      </c>
    </row>
    <row r="2312" spans="20:20" x14ac:dyDescent="0.2">
      <c r="T2312" t="s">
        <v>2504</v>
      </c>
    </row>
    <row r="2313" spans="20:20" x14ac:dyDescent="0.2">
      <c r="T2313" t="s">
        <v>2505</v>
      </c>
    </row>
    <row r="2314" spans="20:20" x14ac:dyDescent="0.2">
      <c r="T2314" t="s">
        <v>2506</v>
      </c>
    </row>
    <row r="2315" spans="20:20" x14ac:dyDescent="0.2">
      <c r="T2315" t="s">
        <v>2507</v>
      </c>
    </row>
    <row r="2316" spans="20:20" x14ac:dyDescent="0.2">
      <c r="T2316" t="s">
        <v>2508</v>
      </c>
    </row>
    <row r="2317" spans="20:20" x14ac:dyDescent="0.2">
      <c r="T2317" t="s">
        <v>2509</v>
      </c>
    </row>
    <row r="2318" spans="20:20" x14ac:dyDescent="0.2">
      <c r="T2318" t="s">
        <v>863</v>
      </c>
    </row>
    <row r="2319" spans="20:20" x14ac:dyDescent="0.2">
      <c r="T2319" t="s">
        <v>2510</v>
      </c>
    </row>
    <row r="2320" spans="20:20" x14ac:dyDescent="0.2">
      <c r="T2320" t="s">
        <v>2511</v>
      </c>
    </row>
    <row r="2321" spans="20:20" x14ac:dyDescent="0.2">
      <c r="T2321" t="s">
        <v>2512</v>
      </c>
    </row>
    <row r="2322" spans="20:20" x14ac:dyDescent="0.2">
      <c r="T2322" t="s">
        <v>2513</v>
      </c>
    </row>
    <row r="2323" spans="20:20" x14ac:dyDescent="0.2">
      <c r="T2323" t="s">
        <v>2514</v>
      </c>
    </row>
    <row r="2324" spans="20:20" x14ac:dyDescent="0.2">
      <c r="T2324" t="s">
        <v>2515</v>
      </c>
    </row>
    <row r="2325" spans="20:20" x14ac:dyDescent="0.2">
      <c r="T2325" t="s">
        <v>2516</v>
      </c>
    </row>
    <row r="2326" spans="20:20" x14ac:dyDescent="0.2">
      <c r="T2326" t="s">
        <v>2517</v>
      </c>
    </row>
    <row r="2327" spans="20:20" x14ac:dyDescent="0.2">
      <c r="T2327" t="s">
        <v>2518</v>
      </c>
    </row>
    <row r="2328" spans="20:20" x14ac:dyDescent="0.2">
      <c r="T2328" t="s">
        <v>2519</v>
      </c>
    </row>
    <row r="2329" spans="20:20" x14ac:dyDescent="0.2">
      <c r="T2329" t="s">
        <v>2287</v>
      </c>
    </row>
    <row r="2330" spans="20:20" x14ac:dyDescent="0.2">
      <c r="T2330" t="s">
        <v>2520</v>
      </c>
    </row>
    <row r="2331" spans="20:20" x14ac:dyDescent="0.2">
      <c r="T2331" t="s">
        <v>2521</v>
      </c>
    </row>
    <row r="2332" spans="20:20" x14ac:dyDescent="0.2">
      <c r="T2332" t="s">
        <v>2522</v>
      </c>
    </row>
    <row r="2333" spans="20:20" x14ac:dyDescent="0.2">
      <c r="T2333" t="s">
        <v>2523</v>
      </c>
    </row>
    <row r="2334" spans="20:20" x14ac:dyDescent="0.2">
      <c r="T2334" t="s">
        <v>2524</v>
      </c>
    </row>
    <row r="2335" spans="20:20" x14ac:dyDescent="0.2">
      <c r="T2335" t="s">
        <v>2525</v>
      </c>
    </row>
    <row r="2336" spans="20:20" x14ac:dyDescent="0.2">
      <c r="T2336" t="s">
        <v>2526</v>
      </c>
    </row>
    <row r="2337" spans="20:20" x14ac:dyDescent="0.2">
      <c r="T2337" t="s">
        <v>2527</v>
      </c>
    </row>
    <row r="2338" spans="20:20" x14ac:dyDescent="0.2">
      <c r="T2338" t="s">
        <v>2528</v>
      </c>
    </row>
    <row r="2339" spans="20:20" x14ac:dyDescent="0.2">
      <c r="T2339" t="s">
        <v>2529</v>
      </c>
    </row>
    <row r="2340" spans="20:20" x14ac:dyDescent="0.2">
      <c r="T2340" t="s">
        <v>2530</v>
      </c>
    </row>
    <row r="2341" spans="20:20" x14ac:dyDescent="0.2">
      <c r="T2341" t="s">
        <v>2531</v>
      </c>
    </row>
    <row r="2342" spans="20:20" x14ac:dyDescent="0.2">
      <c r="T2342" t="s">
        <v>2532</v>
      </c>
    </row>
    <row r="2343" spans="20:20" x14ac:dyDescent="0.2">
      <c r="T2343" t="s">
        <v>2533</v>
      </c>
    </row>
    <row r="2344" spans="20:20" x14ac:dyDescent="0.2">
      <c r="T2344" t="s">
        <v>2534</v>
      </c>
    </row>
    <row r="2345" spans="20:20" x14ac:dyDescent="0.2">
      <c r="T2345" t="s">
        <v>2535</v>
      </c>
    </row>
    <row r="2346" spans="20:20" x14ac:dyDescent="0.2">
      <c r="T2346" t="s">
        <v>2536</v>
      </c>
    </row>
    <row r="2347" spans="20:20" x14ac:dyDescent="0.2">
      <c r="T2347" t="s">
        <v>2537</v>
      </c>
    </row>
    <row r="2348" spans="20:20" x14ac:dyDescent="0.2">
      <c r="T2348" t="s">
        <v>2538</v>
      </c>
    </row>
    <row r="2349" spans="20:20" x14ac:dyDescent="0.2">
      <c r="T2349" t="s">
        <v>2539</v>
      </c>
    </row>
    <row r="2350" spans="20:20" x14ac:dyDescent="0.2">
      <c r="T2350" t="s">
        <v>2540</v>
      </c>
    </row>
    <row r="2351" spans="20:20" x14ac:dyDescent="0.2">
      <c r="T2351" t="s">
        <v>2541</v>
      </c>
    </row>
    <row r="2352" spans="20:20" x14ac:dyDescent="0.2">
      <c r="T2352" t="s">
        <v>2542</v>
      </c>
    </row>
    <row r="2353" spans="20:20" x14ac:dyDescent="0.2">
      <c r="T2353" t="s">
        <v>2543</v>
      </c>
    </row>
    <row r="2354" spans="20:20" x14ac:dyDescent="0.2">
      <c r="T2354" t="s">
        <v>2544</v>
      </c>
    </row>
    <row r="2355" spans="20:20" x14ac:dyDescent="0.2">
      <c r="T2355" t="s">
        <v>2545</v>
      </c>
    </row>
    <row r="2356" spans="20:20" x14ac:dyDescent="0.2">
      <c r="T2356" t="s">
        <v>2546</v>
      </c>
    </row>
    <row r="2357" spans="20:20" x14ac:dyDescent="0.2">
      <c r="T2357" t="s">
        <v>2547</v>
      </c>
    </row>
    <row r="2358" spans="20:20" x14ac:dyDescent="0.2">
      <c r="T2358" t="s">
        <v>2548</v>
      </c>
    </row>
    <row r="2359" spans="20:20" x14ac:dyDescent="0.2">
      <c r="T2359" t="s">
        <v>2549</v>
      </c>
    </row>
    <row r="2360" spans="20:20" x14ac:dyDescent="0.2">
      <c r="T2360" t="s">
        <v>2550</v>
      </c>
    </row>
    <row r="2361" spans="20:20" x14ac:dyDescent="0.2">
      <c r="T2361" t="s">
        <v>2551</v>
      </c>
    </row>
    <row r="2362" spans="20:20" x14ac:dyDescent="0.2">
      <c r="T2362" t="s">
        <v>2552</v>
      </c>
    </row>
    <row r="2363" spans="20:20" x14ac:dyDescent="0.2">
      <c r="T2363" t="s">
        <v>2553</v>
      </c>
    </row>
    <row r="2364" spans="20:20" x14ac:dyDescent="0.2">
      <c r="T2364" t="s">
        <v>2554</v>
      </c>
    </row>
    <row r="2365" spans="20:20" x14ac:dyDescent="0.2">
      <c r="T2365" t="s">
        <v>2555</v>
      </c>
    </row>
    <row r="2366" spans="20:20" x14ac:dyDescent="0.2">
      <c r="T2366" t="s">
        <v>2556</v>
      </c>
    </row>
    <row r="2367" spans="20:20" x14ac:dyDescent="0.2">
      <c r="T2367" t="s">
        <v>2557</v>
      </c>
    </row>
    <row r="2368" spans="20:20" x14ac:dyDescent="0.2">
      <c r="T2368" t="s">
        <v>2558</v>
      </c>
    </row>
    <row r="2369" spans="20:20" x14ac:dyDescent="0.2">
      <c r="T2369" t="s">
        <v>2559</v>
      </c>
    </row>
    <row r="2370" spans="20:20" x14ac:dyDescent="0.2">
      <c r="T2370" t="s">
        <v>2560</v>
      </c>
    </row>
    <row r="2371" spans="20:20" x14ac:dyDescent="0.2">
      <c r="T2371" t="s">
        <v>2561</v>
      </c>
    </row>
    <row r="2372" spans="20:20" x14ac:dyDescent="0.2">
      <c r="T2372" t="s">
        <v>2562</v>
      </c>
    </row>
    <row r="2373" spans="20:20" x14ac:dyDescent="0.2">
      <c r="T2373" t="s">
        <v>2563</v>
      </c>
    </row>
    <row r="2374" spans="20:20" x14ac:dyDescent="0.2">
      <c r="T2374" t="s">
        <v>2564</v>
      </c>
    </row>
    <row r="2375" spans="20:20" x14ac:dyDescent="0.2">
      <c r="T2375" t="s">
        <v>2565</v>
      </c>
    </row>
    <row r="2376" spans="20:20" x14ac:dyDescent="0.2">
      <c r="T2376" t="s">
        <v>2566</v>
      </c>
    </row>
    <row r="2377" spans="20:20" x14ac:dyDescent="0.2">
      <c r="T2377" t="s">
        <v>2567</v>
      </c>
    </row>
    <row r="2378" spans="20:20" x14ac:dyDescent="0.2">
      <c r="T2378" t="s">
        <v>2568</v>
      </c>
    </row>
    <row r="2379" spans="20:20" x14ac:dyDescent="0.2">
      <c r="T2379" t="s">
        <v>2569</v>
      </c>
    </row>
    <row r="2380" spans="20:20" x14ac:dyDescent="0.2">
      <c r="T2380" t="s">
        <v>2570</v>
      </c>
    </row>
    <row r="2381" spans="20:20" x14ac:dyDescent="0.2">
      <c r="T2381" t="s">
        <v>2571</v>
      </c>
    </row>
    <row r="2382" spans="20:20" x14ac:dyDescent="0.2">
      <c r="T2382" t="s">
        <v>2572</v>
      </c>
    </row>
    <row r="2383" spans="20:20" x14ac:dyDescent="0.2">
      <c r="T2383" t="s">
        <v>2573</v>
      </c>
    </row>
    <row r="2384" spans="20:20" x14ac:dyDescent="0.2">
      <c r="T2384" t="s">
        <v>2574</v>
      </c>
    </row>
    <row r="2385" spans="20:20" x14ac:dyDescent="0.2">
      <c r="T2385" t="s">
        <v>2575</v>
      </c>
    </row>
    <row r="2386" spans="20:20" x14ac:dyDescent="0.2">
      <c r="T2386" t="s">
        <v>2576</v>
      </c>
    </row>
    <row r="2387" spans="20:20" x14ac:dyDescent="0.2">
      <c r="T2387" t="s">
        <v>2577</v>
      </c>
    </row>
    <row r="2388" spans="20:20" x14ac:dyDescent="0.2">
      <c r="T2388" t="s">
        <v>2578</v>
      </c>
    </row>
    <row r="2389" spans="20:20" x14ac:dyDescent="0.2">
      <c r="T2389" t="s">
        <v>2579</v>
      </c>
    </row>
    <row r="2390" spans="20:20" x14ac:dyDescent="0.2">
      <c r="T2390" t="s">
        <v>2580</v>
      </c>
    </row>
    <row r="2391" spans="20:20" x14ac:dyDescent="0.2">
      <c r="T2391" t="s">
        <v>2581</v>
      </c>
    </row>
    <row r="2392" spans="20:20" x14ac:dyDescent="0.2">
      <c r="T2392" t="s">
        <v>2582</v>
      </c>
    </row>
    <row r="2393" spans="20:20" x14ac:dyDescent="0.2">
      <c r="T2393" t="s">
        <v>2583</v>
      </c>
    </row>
    <row r="2394" spans="20:20" x14ac:dyDescent="0.2">
      <c r="T2394" t="s">
        <v>2584</v>
      </c>
    </row>
    <row r="2395" spans="20:20" x14ac:dyDescent="0.2">
      <c r="T2395" t="s">
        <v>2585</v>
      </c>
    </row>
    <row r="2396" spans="20:20" x14ac:dyDescent="0.2">
      <c r="T2396" t="s">
        <v>2586</v>
      </c>
    </row>
    <row r="2397" spans="20:20" x14ac:dyDescent="0.2">
      <c r="T2397" t="s">
        <v>2587</v>
      </c>
    </row>
    <row r="2398" spans="20:20" x14ac:dyDescent="0.2">
      <c r="T2398" t="s">
        <v>2588</v>
      </c>
    </row>
    <row r="2399" spans="20:20" x14ac:dyDescent="0.2">
      <c r="T2399" t="s">
        <v>2589</v>
      </c>
    </row>
    <row r="2400" spans="20:20" x14ac:dyDescent="0.2">
      <c r="T2400" t="s">
        <v>2590</v>
      </c>
    </row>
    <row r="2401" spans="20:20" x14ac:dyDescent="0.2">
      <c r="T2401" t="s">
        <v>2591</v>
      </c>
    </row>
    <row r="2402" spans="20:20" x14ac:dyDescent="0.2">
      <c r="T2402" t="s">
        <v>2592</v>
      </c>
    </row>
    <row r="2403" spans="20:20" x14ac:dyDescent="0.2">
      <c r="T2403" t="s">
        <v>2593</v>
      </c>
    </row>
    <row r="2404" spans="20:20" x14ac:dyDescent="0.2">
      <c r="T2404" t="s">
        <v>2594</v>
      </c>
    </row>
    <row r="2405" spans="20:20" x14ac:dyDescent="0.2">
      <c r="T2405" t="s">
        <v>2595</v>
      </c>
    </row>
    <row r="2406" spans="20:20" x14ac:dyDescent="0.2">
      <c r="T2406" t="s">
        <v>2596</v>
      </c>
    </row>
    <row r="2407" spans="20:20" x14ac:dyDescent="0.2">
      <c r="T2407" t="s">
        <v>2597</v>
      </c>
    </row>
    <row r="2408" spans="20:20" x14ac:dyDescent="0.2">
      <c r="T2408" t="s">
        <v>2598</v>
      </c>
    </row>
    <row r="2409" spans="20:20" x14ac:dyDescent="0.2">
      <c r="T2409" t="s">
        <v>2599</v>
      </c>
    </row>
    <row r="2410" spans="20:20" x14ac:dyDescent="0.2">
      <c r="T2410" t="s">
        <v>2600</v>
      </c>
    </row>
    <row r="2411" spans="20:20" x14ac:dyDescent="0.2">
      <c r="T2411" t="s">
        <v>2601</v>
      </c>
    </row>
    <row r="2412" spans="20:20" x14ac:dyDescent="0.2">
      <c r="T2412" t="s">
        <v>2602</v>
      </c>
    </row>
    <row r="2413" spans="20:20" x14ac:dyDescent="0.2">
      <c r="T2413" t="s">
        <v>2603</v>
      </c>
    </row>
    <row r="2414" spans="20:20" x14ac:dyDescent="0.2">
      <c r="T2414" t="s">
        <v>2604</v>
      </c>
    </row>
    <row r="2415" spans="20:20" x14ac:dyDescent="0.2">
      <c r="T2415" t="s">
        <v>2605</v>
      </c>
    </row>
    <row r="2416" spans="20:20" x14ac:dyDescent="0.2">
      <c r="T2416" t="s">
        <v>2606</v>
      </c>
    </row>
    <row r="2417" spans="20:20" x14ac:dyDescent="0.2">
      <c r="T2417" t="s">
        <v>2607</v>
      </c>
    </row>
    <row r="2418" spans="20:20" x14ac:dyDescent="0.2">
      <c r="T2418" t="s">
        <v>2608</v>
      </c>
    </row>
    <row r="2419" spans="20:20" x14ac:dyDescent="0.2">
      <c r="T2419" t="s">
        <v>2609</v>
      </c>
    </row>
    <row r="2420" spans="20:20" x14ac:dyDescent="0.2">
      <c r="T2420" t="s">
        <v>2610</v>
      </c>
    </row>
    <row r="2421" spans="20:20" x14ac:dyDescent="0.2">
      <c r="T2421" t="s">
        <v>2611</v>
      </c>
    </row>
    <row r="2422" spans="20:20" x14ac:dyDescent="0.2">
      <c r="T2422" t="s">
        <v>2612</v>
      </c>
    </row>
    <row r="2423" spans="20:20" x14ac:dyDescent="0.2">
      <c r="T2423" t="s">
        <v>2613</v>
      </c>
    </row>
    <row r="2424" spans="20:20" x14ac:dyDescent="0.2">
      <c r="T2424" t="s">
        <v>2614</v>
      </c>
    </row>
    <row r="2425" spans="20:20" x14ac:dyDescent="0.2">
      <c r="T2425" t="s">
        <v>2615</v>
      </c>
    </row>
    <row r="2426" spans="20:20" x14ac:dyDescent="0.2">
      <c r="T2426" t="s">
        <v>2616</v>
      </c>
    </row>
    <row r="2427" spans="20:20" x14ac:dyDescent="0.2">
      <c r="T2427" t="s">
        <v>2617</v>
      </c>
    </row>
    <row r="2428" spans="20:20" x14ac:dyDescent="0.2">
      <c r="T2428" t="s">
        <v>2618</v>
      </c>
    </row>
    <row r="2429" spans="20:20" x14ac:dyDescent="0.2">
      <c r="T2429" t="s">
        <v>2619</v>
      </c>
    </row>
    <row r="2430" spans="20:20" x14ac:dyDescent="0.2">
      <c r="T2430" t="s">
        <v>2620</v>
      </c>
    </row>
    <row r="2431" spans="20:20" x14ac:dyDescent="0.2">
      <c r="T2431" t="s">
        <v>2621</v>
      </c>
    </row>
    <row r="2432" spans="20:20" x14ac:dyDescent="0.2">
      <c r="T2432" t="s">
        <v>2622</v>
      </c>
    </row>
    <row r="2433" spans="20:20" x14ac:dyDescent="0.2">
      <c r="T2433" t="s">
        <v>2623</v>
      </c>
    </row>
    <row r="2434" spans="20:20" x14ac:dyDescent="0.2">
      <c r="T2434" t="s">
        <v>2624</v>
      </c>
    </row>
    <row r="2435" spans="20:20" x14ac:dyDescent="0.2">
      <c r="T2435" t="s">
        <v>2625</v>
      </c>
    </row>
    <row r="2436" spans="20:20" x14ac:dyDescent="0.2">
      <c r="T2436" t="s">
        <v>2626</v>
      </c>
    </row>
    <row r="2437" spans="20:20" x14ac:dyDescent="0.2">
      <c r="T2437" t="s">
        <v>2627</v>
      </c>
    </row>
    <row r="2438" spans="20:20" x14ac:dyDescent="0.2">
      <c r="T2438" t="s">
        <v>2628</v>
      </c>
    </row>
    <row r="2439" spans="20:20" x14ac:dyDescent="0.2">
      <c r="T2439" t="s">
        <v>2629</v>
      </c>
    </row>
    <row r="2440" spans="20:20" x14ac:dyDescent="0.2">
      <c r="T2440" t="s">
        <v>2630</v>
      </c>
    </row>
    <row r="2441" spans="20:20" x14ac:dyDescent="0.2">
      <c r="T2441" t="s">
        <v>2631</v>
      </c>
    </row>
    <row r="2442" spans="20:20" x14ac:dyDescent="0.2">
      <c r="T2442" t="s">
        <v>2632</v>
      </c>
    </row>
    <row r="2443" spans="20:20" x14ac:dyDescent="0.2">
      <c r="T2443" t="s">
        <v>2633</v>
      </c>
    </row>
    <row r="2444" spans="20:20" x14ac:dyDescent="0.2">
      <c r="T2444" t="s">
        <v>2634</v>
      </c>
    </row>
    <row r="2445" spans="20:20" x14ac:dyDescent="0.2">
      <c r="T2445" t="s">
        <v>2635</v>
      </c>
    </row>
    <row r="2446" spans="20:20" x14ac:dyDescent="0.2">
      <c r="T2446" t="s">
        <v>2636</v>
      </c>
    </row>
    <row r="2447" spans="20:20" x14ac:dyDescent="0.2">
      <c r="T2447" t="s">
        <v>2637</v>
      </c>
    </row>
    <row r="2448" spans="20:20" x14ac:dyDescent="0.2">
      <c r="T2448" t="s">
        <v>2638</v>
      </c>
    </row>
    <row r="2449" spans="20:20" x14ac:dyDescent="0.2">
      <c r="T2449" t="s">
        <v>2639</v>
      </c>
    </row>
    <row r="2450" spans="20:20" x14ac:dyDescent="0.2">
      <c r="T2450" t="s">
        <v>2640</v>
      </c>
    </row>
    <row r="2451" spans="20:20" x14ac:dyDescent="0.2">
      <c r="T2451" t="s">
        <v>2641</v>
      </c>
    </row>
    <row r="2452" spans="20:20" x14ac:dyDescent="0.2">
      <c r="T2452" t="s">
        <v>2642</v>
      </c>
    </row>
    <row r="2453" spans="20:20" x14ac:dyDescent="0.2">
      <c r="T2453" t="s">
        <v>2643</v>
      </c>
    </row>
    <row r="2454" spans="20:20" x14ac:dyDescent="0.2">
      <c r="T2454" t="s">
        <v>2644</v>
      </c>
    </row>
    <row r="2455" spans="20:20" x14ac:dyDescent="0.2">
      <c r="T2455" t="s">
        <v>2645</v>
      </c>
    </row>
    <row r="2456" spans="20:20" x14ac:dyDescent="0.2">
      <c r="T2456" t="s">
        <v>2646</v>
      </c>
    </row>
    <row r="2457" spans="20:20" x14ac:dyDescent="0.2">
      <c r="T2457" t="s">
        <v>2647</v>
      </c>
    </row>
    <row r="2458" spans="20:20" x14ac:dyDescent="0.2">
      <c r="T2458" t="s">
        <v>2648</v>
      </c>
    </row>
    <row r="2459" spans="20:20" x14ac:dyDescent="0.2">
      <c r="T2459" t="s">
        <v>2649</v>
      </c>
    </row>
    <row r="2460" spans="20:20" x14ac:dyDescent="0.2">
      <c r="T2460" t="s">
        <v>2650</v>
      </c>
    </row>
    <row r="2461" spans="20:20" x14ac:dyDescent="0.2">
      <c r="T2461" t="s">
        <v>2651</v>
      </c>
    </row>
    <row r="2462" spans="20:20" x14ac:dyDescent="0.2">
      <c r="T2462" t="s">
        <v>2652</v>
      </c>
    </row>
    <row r="2463" spans="20:20" x14ac:dyDescent="0.2">
      <c r="T2463" t="s">
        <v>2653</v>
      </c>
    </row>
    <row r="2464" spans="20:20" x14ac:dyDescent="0.2">
      <c r="T2464" t="s">
        <v>2654</v>
      </c>
    </row>
    <row r="2465" spans="20:20" x14ac:dyDescent="0.2">
      <c r="T2465" t="s">
        <v>2655</v>
      </c>
    </row>
    <row r="2466" spans="20:20" x14ac:dyDescent="0.2">
      <c r="T2466" t="s">
        <v>2656</v>
      </c>
    </row>
    <row r="2467" spans="20:20" x14ac:dyDescent="0.2">
      <c r="T2467" t="s">
        <v>2657</v>
      </c>
    </row>
    <row r="2468" spans="20:20" x14ac:dyDescent="0.2">
      <c r="T2468" t="s">
        <v>2658</v>
      </c>
    </row>
    <row r="2469" spans="20:20" x14ac:dyDescent="0.2">
      <c r="T2469" t="s">
        <v>863</v>
      </c>
    </row>
    <row r="2470" spans="20:20" x14ac:dyDescent="0.2">
      <c r="T2470" t="s">
        <v>2659</v>
      </c>
    </row>
    <row r="2471" spans="20:20" x14ac:dyDescent="0.2">
      <c r="T2471" t="s">
        <v>2660</v>
      </c>
    </row>
    <row r="2472" spans="20:20" x14ac:dyDescent="0.2">
      <c r="T2472" t="s">
        <v>2661</v>
      </c>
    </row>
    <row r="2473" spans="20:20" x14ac:dyDescent="0.2">
      <c r="T2473" t="s">
        <v>2662</v>
      </c>
    </row>
    <row r="2474" spans="20:20" x14ac:dyDescent="0.2">
      <c r="T2474" t="s">
        <v>2663</v>
      </c>
    </row>
    <row r="2475" spans="20:20" x14ac:dyDescent="0.2">
      <c r="T2475" t="s">
        <v>2287</v>
      </c>
    </row>
    <row r="2476" spans="20:20" x14ac:dyDescent="0.2">
      <c r="T2476" t="s">
        <v>2664</v>
      </c>
    </row>
    <row r="2477" spans="20:20" x14ac:dyDescent="0.2">
      <c r="T2477" t="s">
        <v>2665</v>
      </c>
    </row>
    <row r="2478" spans="20:20" x14ac:dyDescent="0.2">
      <c r="T2478" t="s">
        <v>2666</v>
      </c>
    </row>
    <row r="2479" spans="20:20" x14ac:dyDescent="0.2">
      <c r="T2479" t="s">
        <v>2667</v>
      </c>
    </row>
    <row r="2480" spans="20:20" x14ac:dyDescent="0.2">
      <c r="T2480" t="s">
        <v>2668</v>
      </c>
    </row>
    <row r="2481" spans="20:20" x14ac:dyDescent="0.2">
      <c r="T2481" t="s">
        <v>2669</v>
      </c>
    </row>
    <row r="2482" spans="20:20" x14ac:dyDescent="0.2">
      <c r="T2482" t="s">
        <v>2670</v>
      </c>
    </row>
    <row r="2483" spans="20:20" x14ac:dyDescent="0.2">
      <c r="T2483" t="s">
        <v>2671</v>
      </c>
    </row>
    <row r="2484" spans="20:20" x14ac:dyDescent="0.2">
      <c r="T2484" t="s">
        <v>2672</v>
      </c>
    </row>
    <row r="2485" spans="20:20" x14ac:dyDescent="0.2">
      <c r="T2485" t="s">
        <v>2673</v>
      </c>
    </row>
    <row r="2486" spans="20:20" x14ac:dyDescent="0.2">
      <c r="T2486" t="s">
        <v>2674</v>
      </c>
    </row>
    <row r="2487" spans="20:20" x14ac:dyDescent="0.2">
      <c r="T2487" t="s">
        <v>2675</v>
      </c>
    </row>
    <row r="2488" spans="20:20" x14ac:dyDescent="0.2">
      <c r="T2488" t="s">
        <v>2676</v>
      </c>
    </row>
    <row r="2489" spans="20:20" x14ac:dyDescent="0.2">
      <c r="T2489" t="s">
        <v>2677</v>
      </c>
    </row>
    <row r="2490" spans="20:20" x14ac:dyDescent="0.2">
      <c r="T2490" t="s">
        <v>2678</v>
      </c>
    </row>
    <row r="2491" spans="20:20" x14ac:dyDescent="0.2">
      <c r="T2491" t="s">
        <v>2679</v>
      </c>
    </row>
    <row r="2492" spans="20:20" x14ac:dyDescent="0.2">
      <c r="T2492" t="s">
        <v>2680</v>
      </c>
    </row>
    <row r="2493" spans="20:20" x14ac:dyDescent="0.2">
      <c r="T2493" t="s">
        <v>2681</v>
      </c>
    </row>
    <row r="2494" spans="20:20" x14ac:dyDescent="0.2">
      <c r="T2494" t="s">
        <v>2682</v>
      </c>
    </row>
    <row r="2495" spans="20:20" x14ac:dyDescent="0.2">
      <c r="T2495" t="s">
        <v>2683</v>
      </c>
    </row>
    <row r="2496" spans="20:20" x14ac:dyDescent="0.2">
      <c r="T2496" t="s">
        <v>2684</v>
      </c>
    </row>
    <row r="2497" spans="20:20" x14ac:dyDescent="0.2">
      <c r="T2497" t="s">
        <v>2685</v>
      </c>
    </row>
    <row r="2498" spans="20:20" x14ac:dyDescent="0.2">
      <c r="T2498" t="s">
        <v>2686</v>
      </c>
    </row>
    <row r="2499" spans="20:20" x14ac:dyDescent="0.2">
      <c r="T2499" t="s">
        <v>516</v>
      </c>
    </row>
    <row r="2500" spans="20:20" x14ac:dyDescent="0.2">
      <c r="T2500" t="s">
        <v>2652</v>
      </c>
    </row>
    <row r="2501" spans="20:20" x14ac:dyDescent="0.2">
      <c r="T2501" t="s">
        <v>2687</v>
      </c>
    </row>
    <row r="2502" spans="20:20" x14ac:dyDescent="0.2">
      <c r="T2502" t="s">
        <v>2688</v>
      </c>
    </row>
    <row r="2503" spans="20:20" x14ac:dyDescent="0.2">
      <c r="T2503" t="s">
        <v>2689</v>
      </c>
    </row>
    <row r="2504" spans="20:20" x14ac:dyDescent="0.2">
      <c r="T2504" t="s">
        <v>2690</v>
      </c>
    </row>
    <row r="2505" spans="20:20" x14ac:dyDescent="0.2">
      <c r="T2505" t="s">
        <v>2691</v>
      </c>
    </row>
    <row r="2506" spans="20:20" x14ac:dyDescent="0.2">
      <c r="T2506" t="s">
        <v>2692</v>
      </c>
    </row>
    <row r="2507" spans="20:20" x14ac:dyDescent="0.2">
      <c r="T2507" t="s">
        <v>2693</v>
      </c>
    </row>
    <row r="2508" spans="20:20" x14ac:dyDescent="0.2">
      <c r="T2508" t="s">
        <v>2694</v>
      </c>
    </row>
    <row r="2509" spans="20:20" x14ac:dyDescent="0.2">
      <c r="T2509" t="s">
        <v>2695</v>
      </c>
    </row>
    <row r="2510" spans="20:20" x14ac:dyDescent="0.2">
      <c r="T2510" t="s">
        <v>2696</v>
      </c>
    </row>
    <row r="2511" spans="20:20" x14ac:dyDescent="0.2">
      <c r="T2511" t="s">
        <v>2697</v>
      </c>
    </row>
    <row r="2512" spans="20:20" x14ac:dyDescent="0.2">
      <c r="T2512" t="s">
        <v>2698</v>
      </c>
    </row>
    <row r="2513" spans="20:20" x14ac:dyDescent="0.2">
      <c r="T2513" t="s">
        <v>2699</v>
      </c>
    </row>
    <row r="2514" spans="20:20" x14ac:dyDescent="0.2">
      <c r="T2514" t="s">
        <v>2700</v>
      </c>
    </row>
    <row r="2515" spans="20:20" x14ac:dyDescent="0.2">
      <c r="T2515" t="s">
        <v>863</v>
      </c>
    </row>
    <row r="2516" spans="20:20" x14ac:dyDescent="0.2">
      <c r="T2516" t="s">
        <v>496</v>
      </c>
    </row>
    <row r="2517" spans="20:20" x14ac:dyDescent="0.2">
      <c r="T2517" t="s">
        <v>2701</v>
      </c>
    </row>
    <row r="2518" spans="20:20" x14ac:dyDescent="0.2">
      <c r="T2518" t="s">
        <v>2702</v>
      </c>
    </row>
    <row r="2519" spans="20:20" x14ac:dyDescent="0.2">
      <c r="T2519" t="s">
        <v>2703</v>
      </c>
    </row>
    <row r="2520" spans="20:20" x14ac:dyDescent="0.2">
      <c r="T2520" t="s">
        <v>2704</v>
      </c>
    </row>
    <row r="2521" spans="20:20" x14ac:dyDescent="0.2">
      <c r="T2521" t="s">
        <v>2705</v>
      </c>
    </row>
    <row r="2522" spans="20:20" x14ac:dyDescent="0.2">
      <c r="T2522" t="s">
        <v>2706</v>
      </c>
    </row>
    <row r="2523" spans="20:20" x14ac:dyDescent="0.2">
      <c r="T2523" t="s">
        <v>2707</v>
      </c>
    </row>
    <row r="2524" spans="20:20" x14ac:dyDescent="0.2">
      <c r="T2524" t="s">
        <v>2708</v>
      </c>
    </row>
    <row r="2525" spans="20:20" x14ac:dyDescent="0.2">
      <c r="T2525" t="s">
        <v>2709</v>
      </c>
    </row>
    <row r="2526" spans="20:20" x14ac:dyDescent="0.2">
      <c r="T2526" t="s">
        <v>2710</v>
      </c>
    </row>
    <row r="2527" spans="20:20" x14ac:dyDescent="0.2">
      <c r="T2527" t="s">
        <v>2711</v>
      </c>
    </row>
    <row r="2528" spans="20:20" x14ac:dyDescent="0.2">
      <c r="T2528" t="s">
        <v>2712</v>
      </c>
    </row>
    <row r="2529" spans="20:20" x14ac:dyDescent="0.2">
      <c r="T2529" t="s">
        <v>2713</v>
      </c>
    </row>
    <row r="2530" spans="20:20" x14ac:dyDescent="0.2">
      <c r="T2530" t="s">
        <v>2714</v>
      </c>
    </row>
    <row r="2531" spans="20:20" x14ac:dyDescent="0.2">
      <c r="T2531" t="s">
        <v>2715</v>
      </c>
    </row>
    <row r="2532" spans="20:20" x14ac:dyDescent="0.2">
      <c r="T2532" t="s">
        <v>2716</v>
      </c>
    </row>
    <row r="2533" spans="20:20" x14ac:dyDescent="0.2">
      <c r="T2533" t="s">
        <v>2717</v>
      </c>
    </row>
    <row r="2534" spans="20:20" x14ac:dyDescent="0.2">
      <c r="T2534" t="s">
        <v>2718</v>
      </c>
    </row>
    <row r="2535" spans="20:20" x14ac:dyDescent="0.2">
      <c r="T2535" t="s">
        <v>2719</v>
      </c>
    </row>
    <row r="2536" spans="20:20" x14ac:dyDescent="0.2">
      <c r="T2536" t="s">
        <v>2720</v>
      </c>
    </row>
    <row r="2537" spans="20:20" x14ac:dyDescent="0.2">
      <c r="T2537" t="s">
        <v>2721</v>
      </c>
    </row>
    <row r="2538" spans="20:20" x14ac:dyDescent="0.2">
      <c r="T2538" t="s">
        <v>2722</v>
      </c>
    </row>
    <row r="2539" spans="20:20" x14ac:dyDescent="0.2">
      <c r="T2539" t="s">
        <v>2723</v>
      </c>
    </row>
    <row r="2540" spans="20:20" x14ac:dyDescent="0.2">
      <c r="T2540" t="s">
        <v>2724</v>
      </c>
    </row>
    <row r="2541" spans="20:20" x14ac:dyDescent="0.2">
      <c r="T2541" t="s">
        <v>2725</v>
      </c>
    </row>
    <row r="2542" spans="20:20" x14ac:dyDescent="0.2">
      <c r="T2542" t="s">
        <v>2726</v>
      </c>
    </row>
    <row r="2543" spans="20:20" x14ac:dyDescent="0.2">
      <c r="T2543" t="s">
        <v>2727</v>
      </c>
    </row>
    <row r="2544" spans="20:20" x14ac:dyDescent="0.2">
      <c r="T2544" t="s">
        <v>2728</v>
      </c>
    </row>
    <row r="2545" spans="20:20" x14ac:dyDescent="0.2">
      <c r="T2545" t="s">
        <v>2729</v>
      </c>
    </row>
    <row r="2546" spans="20:20" x14ac:dyDescent="0.2">
      <c r="T2546" t="s">
        <v>2730</v>
      </c>
    </row>
    <row r="2547" spans="20:20" x14ac:dyDescent="0.2">
      <c r="T2547" t="s">
        <v>2731</v>
      </c>
    </row>
    <row r="2548" spans="20:20" x14ac:dyDescent="0.2">
      <c r="T2548" t="s">
        <v>2732</v>
      </c>
    </row>
    <row r="2549" spans="20:20" x14ac:dyDescent="0.2">
      <c r="T2549" t="s">
        <v>2733</v>
      </c>
    </row>
    <row r="2550" spans="20:20" x14ac:dyDescent="0.2">
      <c r="T2550" t="s">
        <v>2734</v>
      </c>
    </row>
    <row r="2551" spans="20:20" x14ac:dyDescent="0.2">
      <c r="T2551" t="s">
        <v>2735</v>
      </c>
    </row>
    <row r="2552" spans="20:20" x14ac:dyDescent="0.2">
      <c r="T2552" t="s">
        <v>2736</v>
      </c>
    </row>
    <row r="2553" spans="20:20" x14ac:dyDescent="0.2">
      <c r="T2553" t="s">
        <v>2737</v>
      </c>
    </row>
    <row r="2554" spans="20:20" x14ac:dyDescent="0.2">
      <c r="T2554" t="s">
        <v>2738</v>
      </c>
    </row>
    <row r="2555" spans="20:20" x14ac:dyDescent="0.2">
      <c r="T2555" t="s">
        <v>2739</v>
      </c>
    </row>
    <row r="2556" spans="20:20" x14ac:dyDescent="0.2">
      <c r="T2556" t="s">
        <v>2740</v>
      </c>
    </row>
    <row r="2557" spans="20:20" x14ac:dyDescent="0.2">
      <c r="T2557" t="s">
        <v>2741</v>
      </c>
    </row>
    <row r="2558" spans="20:20" x14ac:dyDescent="0.2">
      <c r="T2558" t="s">
        <v>2742</v>
      </c>
    </row>
    <row r="2559" spans="20:20" x14ac:dyDescent="0.2">
      <c r="T2559" t="s">
        <v>2743</v>
      </c>
    </row>
    <row r="2560" spans="20:20" x14ac:dyDescent="0.2">
      <c r="T2560" t="s">
        <v>2744</v>
      </c>
    </row>
    <row r="2561" spans="20:20" x14ac:dyDescent="0.2">
      <c r="T2561" t="s">
        <v>2745</v>
      </c>
    </row>
    <row r="2562" spans="20:20" x14ac:dyDescent="0.2">
      <c r="T2562" t="s">
        <v>2746</v>
      </c>
    </row>
    <row r="2563" spans="20:20" x14ac:dyDescent="0.2">
      <c r="T2563" t="s">
        <v>2747</v>
      </c>
    </row>
    <row r="2564" spans="20:20" x14ac:dyDescent="0.2">
      <c r="T2564" t="s">
        <v>2748</v>
      </c>
    </row>
    <row r="2565" spans="20:20" x14ac:dyDescent="0.2">
      <c r="T2565" t="s">
        <v>2749</v>
      </c>
    </row>
    <row r="2566" spans="20:20" x14ac:dyDescent="0.2">
      <c r="T2566" t="s">
        <v>2750</v>
      </c>
    </row>
    <row r="2567" spans="20:20" x14ac:dyDescent="0.2">
      <c r="T2567" t="s">
        <v>2751</v>
      </c>
    </row>
    <row r="2568" spans="20:20" x14ac:dyDescent="0.2">
      <c r="T2568" t="s">
        <v>2752</v>
      </c>
    </row>
    <row r="2569" spans="20:20" x14ac:dyDescent="0.2">
      <c r="T2569" t="s">
        <v>2753</v>
      </c>
    </row>
    <row r="2570" spans="20:20" x14ac:dyDescent="0.2">
      <c r="T2570" t="s">
        <v>2754</v>
      </c>
    </row>
    <row r="2571" spans="20:20" x14ac:dyDescent="0.2">
      <c r="T2571" t="s">
        <v>2755</v>
      </c>
    </row>
    <row r="2572" spans="20:20" x14ac:dyDescent="0.2">
      <c r="T2572" t="s">
        <v>2756</v>
      </c>
    </row>
    <row r="2573" spans="20:20" x14ac:dyDescent="0.2">
      <c r="T2573" t="s">
        <v>2757</v>
      </c>
    </row>
    <row r="2574" spans="20:20" x14ac:dyDescent="0.2">
      <c r="T2574" t="s">
        <v>2758</v>
      </c>
    </row>
    <row r="2575" spans="20:20" x14ac:dyDescent="0.2">
      <c r="T2575" t="s">
        <v>2759</v>
      </c>
    </row>
    <row r="2576" spans="20:20" x14ac:dyDescent="0.2">
      <c r="T2576" t="s">
        <v>2760</v>
      </c>
    </row>
    <row r="2577" spans="20:20" x14ac:dyDescent="0.2">
      <c r="T2577" t="s">
        <v>2761</v>
      </c>
    </row>
    <row r="2578" spans="20:20" x14ac:dyDescent="0.2">
      <c r="T2578" t="s">
        <v>2762</v>
      </c>
    </row>
    <row r="2579" spans="20:20" x14ac:dyDescent="0.2">
      <c r="T2579" t="s">
        <v>2763</v>
      </c>
    </row>
    <row r="2580" spans="20:20" x14ac:dyDescent="0.2">
      <c r="T2580" t="s">
        <v>2764</v>
      </c>
    </row>
    <row r="2581" spans="20:20" x14ac:dyDescent="0.2">
      <c r="T2581" t="s">
        <v>2765</v>
      </c>
    </row>
    <row r="2582" spans="20:20" x14ac:dyDescent="0.2">
      <c r="T2582" t="s">
        <v>2766</v>
      </c>
    </row>
    <row r="2583" spans="20:20" x14ac:dyDescent="0.2">
      <c r="T2583" t="s">
        <v>2767</v>
      </c>
    </row>
    <row r="2584" spans="20:20" x14ac:dyDescent="0.2">
      <c r="T2584" t="s">
        <v>2768</v>
      </c>
    </row>
    <row r="2585" spans="20:20" x14ac:dyDescent="0.2">
      <c r="T2585" t="s">
        <v>2769</v>
      </c>
    </row>
    <row r="2586" spans="20:20" x14ac:dyDescent="0.2">
      <c r="T2586" t="s">
        <v>2770</v>
      </c>
    </row>
    <row r="2587" spans="20:20" x14ac:dyDescent="0.2">
      <c r="T2587" t="s">
        <v>2771</v>
      </c>
    </row>
    <row r="2588" spans="20:20" x14ac:dyDescent="0.2">
      <c r="T2588" t="s">
        <v>2772</v>
      </c>
    </row>
    <row r="2589" spans="20:20" x14ac:dyDescent="0.2">
      <c r="T2589" t="s">
        <v>2773</v>
      </c>
    </row>
    <row r="2590" spans="20:20" x14ac:dyDescent="0.2">
      <c r="T2590" t="s">
        <v>2774</v>
      </c>
    </row>
    <row r="2591" spans="20:20" x14ac:dyDescent="0.2">
      <c r="T2591" t="s">
        <v>2775</v>
      </c>
    </row>
    <row r="2592" spans="20:20" x14ac:dyDescent="0.2">
      <c r="T2592" t="s">
        <v>2776</v>
      </c>
    </row>
    <row r="2593" spans="20:20" x14ac:dyDescent="0.2">
      <c r="T2593" t="s">
        <v>2777</v>
      </c>
    </row>
    <row r="2594" spans="20:20" x14ac:dyDescent="0.2">
      <c r="T2594" t="s">
        <v>2778</v>
      </c>
    </row>
    <row r="2595" spans="20:20" x14ac:dyDescent="0.2">
      <c r="T2595" t="s">
        <v>2779</v>
      </c>
    </row>
    <row r="2596" spans="20:20" x14ac:dyDescent="0.2">
      <c r="T2596" t="s">
        <v>2780</v>
      </c>
    </row>
    <row r="2597" spans="20:20" x14ac:dyDescent="0.2">
      <c r="T2597" t="s">
        <v>2781</v>
      </c>
    </row>
    <row r="2598" spans="20:20" x14ac:dyDescent="0.2">
      <c r="T2598" t="s">
        <v>2782</v>
      </c>
    </row>
    <row r="2599" spans="20:20" x14ac:dyDescent="0.2">
      <c r="T2599" t="s">
        <v>2783</v>
      </c>
    </row>
    <row r="2600" spans="20:20" x14ac:dyDescent="0.2">
      <c r="T2600" t="s">
        <v>2784</v>
      </c>
    </row>
    <row r="2601" spans="20:20" x14ac:dyDescent="0.2">
      <c r="T2601" t="s">
        <v>2785</v>
      </c>
    </row>
    <row r="2602" spans="20:20" x14ac:dyDescent="0.2">
      <c r="T2602" t="s">
        <v>2786</v>
      </c>
    </row>
    <row r="2603" spans="20:20" x14ac:dyDescent="0.2">
      <c r="T2603" t="s">
        <v>2787</v>
      </c>
    </row>
    <row r="2604" spans="20:20" x14ac:dyDescent="0.2">
      <c r="T2604" t="s">
        <v>2788</v>
      </c>
    </row>
    <row r="2605" spans="20:20" x14ac:dyDescent="0.2">
      <c r="T2605" t="s">
        <v>2789</v>
      </c>
    </row>
    <row r="2606" spans="20:20" x14ac:dyDescent="0.2">
      <c r="T2606" t="s">
        <v>2790</v>
      </c>
    </row>
    <row r="2607" spans="20:20" x14ac:dyDescent="0.2">
      <c r="T2607" t="s">
        <v>2791</v>
      </c>
    </row>
    <row r="2608" spans="20:20" x14ac:dyDescent="0.2">
      <c r="T2608" t="s">
        <v>2287</v>
      </c>
    </row>
    <row r="2609" spans="20:20" x14ac:dyDescent="0.2">
      <c r="T2609" t="s">
        <v>2792</v>
      </c>
    </row>
    <row r="2610" spans="20:20" x14ac:dyDescent="0.2">
      <c r="T2610" t="s">
        <v>2793</v>
      </c>
    </row>
    <row r="2611" spans="20:20" x14ac:dyDescent="0.2">
      <c r="T2611" t="s">
        <v>2794</v>
      </c>
    </row>
    <row r="2612" spans="20:20" x14ac:dyDescent="0.2">
      <c r="T2612" t="s">
        <v>2795</v>
      </c>
    </row>
    <row r="2613" spans="20:20" x14ac:dyDescent="0.2">
      <c r="T2613" t="s">
        <v>2796</v>
      </c>
    </row>
    <row r="2614" spans="20:20" x14ac:dyDescent="0.2">
      <c r="T2614" t="s">
        <v>2797</v>
      </c>
    </row>
    <row r="2615" spans="20:20" x14ac:dyDescent="0.2">
      <c r="T2615" t="s">
        <v>2798</v>
      </c>
    </row>
    <row r="2616" spans="20:20" x14ac:dyDescent="0.2">
      <c r="T2616" t="s">
        <v>2652</v>
      </c>
    </row>
    <row r="2617" spans="20:20" x14ac:dyDescent="0.2">
      <c r="T2617" t="s">
        <v>2799</v>
      </c>
    </row>
    <row r="2618" spans="20:20" x14ac:dyDescent="0.2">
      <c r="T2618" t="s">
        <v>2800</v>
      </c>
    </row>
    <row r="2619" spans="20:20" x14ac:dyDescent="0.2">
      <c r="T2619" t="s">
        <v>2801</v>
      </c>
    </row>
    <row r="2620" spans="20:20" x14ac:dyDescent="0.2">
      <c r="T2620" t="s">
        <v>2802</v>
      </c>
    </row>
    <row r="2621" spans="20:20" x14ac:dyDescent="0.2">
      <c r="T2621" t="s">
        <v>2803</v>
      </c>
    </row>
    <row r="2622" spans="20:20" x14ac:dyDescent="0.2">
      <c r="T2622" t="s">
        <v>2804</v>
      </c>
    </row>
    <row r="2623" spans="20:20" x14ac:dyDescent="0.2">
      <c r="T2623" t="s">
        <v>2805</v>
      </c>
    </row>
    <row r="2624" spans="20:20" x14ac:dyDescent="0.2">
      <c r="T2624" t="s">
        <v>2806</v>
      </c>
    </row>
    <row r="2625" spans="20:20" x14ac:dyDescent="0.2">
      <c r="T2625" t="s">
        <v>2807</v>
      </c>
    </row>
    <row r="2626" spans="20:20" x14ac:dyDescent="0.2">
      <c r="T2626" t="s">
        <v>2808</v>
      </c>
    </row>
    <row r="2627" spans="20:20" x14ac:dyDescent="0.2">
      <c r="T2627" t="s">
        <v>2809</v>
      </c>
    </row>
    <row r="2628" spans="20:20" x14ac:dyDescent="0.2">
      <c r="T2628" t="s">
        <v>2810</v>
      </c>
    </row>
    <row r="2629" spans="20:20" x14ac:dyDescent="0.2">
      <c r="T2629" t="s">
        <v>2811</v>
      </c>
    </row>
    <row r="2630" spans="20:20" x14ac:dyDescent="0.2">
      <c r="T2630" t="s">
        <v>2812</v>
      </c>
    </row>
    <row r="2631" spans="20:20" x14ac:dyDescent="0.2">
      <c r="T2631" t="s">
        <v>2813</v>
      </c>
    </row>
    <row r="2632" spans="20:20" x14ac:dyDescent="0.2">
      <c r="T2632" t="s">
        <v>2814</v>
      </c>
    </row>
    <row r="2633" spans="20:20" x14ac:dyDescent="0.2">
      <c r="T2633" t="s">
        <v>2815</v>
      </c>
    </row>
    <row r="2634" spans="20:20" x14ac:dyDescent="0.2">
      <c r="T2634" t="s">
        <v>2816</v>
      </c>
    </row>
    <row r="2635" spans="20:20" x14ac:dyDescent="0.2">
      <c r="T2635" t="s">
        <v>2817</v>
      </c>
    </row>
    <row r="2636" spans="20:20" x14ac:dyDescent="0.2">
      <c r="T2636" t="s">
        <v>2818</v>
      </c>
    </row>
    <row r="2637" spans="20:20" x14ac:dyDescent="0.2">
      <c r="T2637" t="s">
        <v>2819</v>
      </c>
    </row>
    <row r="2638" spans="20:20" x14ac:dyDescent="0.2">
      <c r="T2638" t="s">
        <v>2820</v>
      </c>
    </row>
    <row r="2639" spans="20:20" x14ac:dyDescent="0.2">
      <c r="T2639" t="s">
        <v>2821</v>
      </c>
    </row>
    <row r="2640" spans="20:20" x14ac:dyDescent="0.2">
      <c r="T2640" t="s">
        <v>2822</v>
      </c>
    </row>
    <row r="2641" spans="20:20" x14ac:dyDescent="0.2">
      <c r="T2641" t="s">
        <v>2823</v>
      </c>
    </row>
    <row r="2642" spans="20:20" x14ac:dyDescent="0.2">
      <c r="T2642" t="s">
        <v>2824</v>
      </c>
    </row>
    <row r="2643" spans="20:20" x14ac:dyDescent="0.2">
      <c r="T2643" t="s">
        <v>2825</v>
      </c>
    </row>
    <row r="2644" spans="20:20" x14ac:dyDescent="0.2">
      <c r="T2644" t="s">
        <v>2826</v>
      </c>
    </row>
    <row r="2645" spans="20:20" x14ac:dyDescent="0.2">
      <c r="T2645" t="s">
        <v>2827</v>
      </c>
    </row>
    <row r="2646" spans="20:20" x14ac:dyDescent="0.2">
      <c r="T2646" t="s">
        <v>2828</v>
      </c>
    </row>
    <row r="2647" spans="20:20" x14ac:dyDescent="0.2">
      <c r="T2647" t="s">
        <v>2829</v>
      </c>
    </row>
    <row r="2648" spans="20:20" x14ac:dyDescent="0.2">
      <c r="T2648" t="s">
        <v>2830</v>
      </c>
    </row>
    <row r="2649" spans="20:20" x14ac:dyDescent="0.2">
      <c r="T2649" t="s">
        <v>2831</v>
      </c>
    </row>
    <row r="2650" spans="20:20" x14ac:dyDescent="0.2">
      <c r="T2650" t="s">
        <v>2832</v>
      </c>
    </row>
    <row r="2651" spans="20:20" x14ac:dyDescent="0.2">
      <c r="T2651" t="s">
        <v>2833</v>
      </c>
    </row>
    <row r="2652" spans="20:20" x14ac:dyDescent="0.2">
      <c r="T2652" t="s">
        <v>2834</v>
      </c>
    </row>
    <row r="2653" spans="20:20" x14ac:dyDescent="0.2">
      <c r="T2653" t="s">
        <v>2835</v>
      </c>
    </row>
    <row r="2654" spans="20:20" x14ac:dyDescent="0.2">
      <c r="T2654" t="s">
        <v>2836</v>
      </c>
    </row>
    <row r="2655" spans="20:20" x14ac:dyDescent="0.2">
      <c r="T2655" t="s">
        <v>2837</v>
      </c>
    </row>
    <row r="2656" spans="20:20" x14ac:dyDescent="0.2">
      <c r="T2656" t="s">
        <v>2838</v>
      </c>
    </row>
    <row r="2657" spans="20:20" x14ac:dyDescent="0.2">
      <c r="T2657" t="s">
        <v>2839</v>
      </c>
    </row>
    <row r="2658" spans="20:20" x14ac:dyDescent="0.2">
      <c r="T2658" t="s">
        <v>2840</v>
      </c>
    </row>
    <row r="2659" spans="20:20" x14ac:dyDescent="0.2">
      <c r="T2659" t="s">
        <v>2841</v>
      </c>
    </row>
    <row r="2660" spans="20:20" x14ac:dyDescent="0.2">
      <c r="T2660" t="s">
        <v>2842</v>
      </c>
    </row>
    <row r="2661" spans="20:20" x14ac:dyDescent="0.2">
      <c r="T2661" t="s">
        <v>2843</v>
      </c>
    </row>
    <row r="2662" spans="20:20" x14ac:dyDescent="0.2">
      <c r="T2662" t="s">
        <v>2522</v>
      </c>
    </row>
    <row r="2663" spans="20:20" x14ac:dyDescent="0.2">
      <c r="T2663" t="s">
        <v>2844</v>
      </c>
    </row>
    <row r="2664" spans="20:20" x14ac:dyDescent="0.2">
      <c r="T2664" t="s">
        <v>2845</v>
      </c>
    </row>
    <row r="2665" spans="20:20" x14ac:dyDescent="0.2">
      <c r="T2665" t="s">
        <v>2846</v>
      </c>
    </row>
    <row r="2666" spans="20:20" x14ac:dyDescent="0.2">
      <c r="T2666" t="s">
        <v>2847</v>
      </c>
    </row>
    <row r="2667" spans="20:20" x14ac:dyDescent="0.2">
      <c r="T2667" t="s">
        <v>2848</v>
      </c>
    </row>
    <row r="2668" spans="20:20" x14ac:dyDescent="0.2">
      <c r="T2668" t="s">
        <v>2849</v>
      </c>
    </row>
    <row r="2669" spans="20:20" x14ac:dyDescent="0.2">
      <c r="T2669" t="s">
        <v>2850</v>
      </c>
    </row>
    <row r="2670" spans="20:20" x14ac:dyDescent="0.2">
      <c r="T2670" t="s">
        <v>2851</v>
      </c>
    </row>
    <row r="2671" spans="20:20" x14ac:dyDescent="0.2">
      <c r="T2671" t="s">
        <v>2852</v>
      </c>
    </row>
    <row r="2672" spans="20:20" x14ac:dyDescent="0.2">
      <c r="T2672" t="s">
        <v>2853</v>
      </c>
    </row>
    <row r="2673" spans="20:20" x14ac:dyDescent="0.2">
      <c r="T2673" t="s">
        <v>2854</v>
      </c>
    </row>
    <row r="2674" spans="20:20" x14ac:dyDescent="0.2">
      <c r="T2674" t="s">
        <v>2855</v>
      </c>
    </row>
    <row r="2675" spans="20:20" x14ac:dyDescent="0.2">
      <c r="T2675" t="s">
        <v>2856</v>
      </c>
    </row>
    <row r="2676" spans="20:20" x14ac:dyDescent="0.2">
      <c r="T2676" t="s">
        <v>2857</v>
      </c>
    </row>
    <row r="2677" spans="20:20" x14ac:dyDescent="0.2">
      <c r="T2677" t="s">
        <v>2858</v>
      </c>
    </row>
    <row r="2678" spans="20:20" x14ac:dyDescent="0.2">
      <c r="T2678" t="s">
        <v>2859</v>
      </c>
    </row>
    <row r="2679" spans="20:20" x14ac:dyDescent="0.2">
      <c r="T2679" t="s">
        <v>2860</v>
      </c>
    </row>
    <row r="2680" spans="20:20" x14ac:dyDescent="0.2">
      <c r="T2680" t="s">
        <v>2861</v>
      </c>
    </row>
    <row r="2681" spans="20:20" x14ac:dyDescent="0.2">
      <c r="T2681" t="s">
        <v>2862</v>
      </c>
    </row>
    <row r="2682" spans="20:20" x14ac:dyDescent="0.2">
      <c r="T2682" t="s">
        <v>2863</v>
      </c>
    </row>
    <row r="2683" spans="20:20" x14ac:dyDescent="0.2">
      <c r="T2683" t="s">
        <v>2864</v>
      </c>
    </row>
    <row r="2684" spans="20:20" x14ac:dyDescent="0.2">
      <c r="T2684" t="s">
        <v>2865</v>
      </c>
    </row>
    <row r="2685" spans="20:20" x14ac:dyDescent="0.2">
      <c r="T2685" t="s">
        <v>2866</v>
      </c>
    </row>
    <row r="2686" spans="20:20" x14ac:dyDescent="0.2">
      <c r="T2686" t="s">
        <v>2867</v>
      </c>
    </row>
    <row r="2687" spans="20:20" x14ac:dyDescent="0.2">
      <c r="T2687" t="s">
        <v>2868</v>
      </c>
    </row>
    <row r="2688" spans="20:20" x14ac:dyDescent="0.2">
      <c r="T2688" t="s">
        <v>2287</v>
      </c>
    </row>
    <row r="2689" spans="20:20" x14ac:dyDescent="0.2">
      <c r="T2689" t="s">
        <v>2869</v>
      </c>
    </row>
    <row r="2690" spans="20:20" x14ac:dyDescent="0.2">
      <c r="T2690" t="s">
        <v>2870</v>
      </c>
    </row>
    <row r="2691" spans="20:20" x14ac:dyDescent="0.2">
      <c r="T2691" t="s">
        <v>2871</v>
      </c>
    </row>
    <row r="2692" spans="20:20" x14ac:dyDescent="0.2">
      <c r="T2692" t="s">
        <v>2872</v>
      </c>
    </row>
    <row r="2693" spans="20:20" x14ac:dyDescent="0.2">
      <c r="T2693" t="s">
        <v>2873</v>
      </c>
    </row>
    <row r="2694" spans="20:20" x14ac:dyDescent="0.2">
      <c r="T2694" t="s">
        <v>2874</v>
      </c>
    </row>
    <row r="2695" spans="20:20" x14ac:dyDescent="0.2">
      <c r="T2695" t="s">
        <v>2875</v>
      </c>
    </row>
    <row r="2696" spans="20:20" x14ac:dyDescent="0.2">
      <c r="T2696" t="s">
        <v>2876</v>
      </c>
    </row>
    <row r="2697" spans="20:20" x14ac:dyDescent="0.2">
      <c r="T2697" t="s">
        <v>2877</v>
      </c>
    </row>
    <row r="2698" spans="20:20" x14ac:dyDescent="0.2">
      <c r="T2698" t="s">
        <v>2878</v>
      </c>
    </row>
    <row r="2699" spans="20:20" x14ac:dyDescent="0.2">
      <c r="T2699" t="s">
        <v>2879</v>
      </c>
    </row>
    <row r="2700" spans="20:20" x14ac:dyDescent="0.2">
      <c r="T2700" t="s">
        <v>2880</v>
      </c>
    </row>
    <row r="2701" spans="20:20" x14ac:dyDescent="0.2">
      <c r="T2701" t="s">
        <v>2881</v>
      </c>
    </row>
    <row r="2702" spans="20:20" x14ac:dyDescent="0.2">
      <c r="T2702" t="s">
        <v>2882</v>
      </c>
    </row>
    <row r="2703" spans="20:20" x14ac:dyDescent="0.2">
      <c r="T2703" t="s">
        <v>2883</v>
      </c>
    </row>
    <row r="2704" spans="20:20" x14ac:dyDescent="0.2">
      <c r="T2704" t="s">
        <v>2884</v>
      </c>
    </row>
    <row r="2705" spans="20:20" x14ac:dyDescent="0.2">
      <c r="T2705" t="s">
        <v>2885</v>
      </c>
    </row>
    <row r="2706" spans="20:20" x14ac:dyDescent="0.2">
      <c r="T2706" t="s">
        <v>2886</v>
      </c>
    </row>
    <row r="2707" spans="20:20" x14ac:dyDescent="0.2">
      <c r="T2707" t="s">
        <v>2887</v>
      </c>
    </row>
    <row r="2708" spans="20:20" x14ac:dyDescent="0.2">
      <c r="T2708" t="s">
        <v>2888</v>
      </c>
    </row>
    <row r="2709" spans="20:20" x14ac:dyDescent="0.2">
      <c r="T2709" t="s">
        <v>2889</v>
      </c>
    </row>
    <row r="2710" spans="20:20" x14ac:dyDescent="0.2">
      <c r="T2710" t="s">
        <v>2890</v>
      </c>
    </row>
    <row r="2711" spans="20:20" x14ac:dyDescent="0.2">
      <c r="T2711" t="s">
        <v>2891</v>
      </c>
    </row>
    <row r="2712" spans="20:20" x14ac:dyDescent="0.2">
      <c r="T2712" t="s">
        <v>2892</v>
      </c>
    </row>
    <row r="2713" spans="20:20" x14ac:dyDescent="0.2">
      <c r="T2713" t="s">
        <v>2893</v>
      </c>
    </row>
    <row r="2714" spans="20:20" x14ac:dyDescent="0.2">
      <c r="T2714" t="s">
        <v>2894</v>
      </c>
    </row>
    <row r="2715" spans="20:20" x14ac:dyDescent="0.2">
      <c r="T2715" t="s">
        <v>2895</v>
      </c>
    </row>
    <row r="2716" spans="20:20" x14ac:dyDescent="0.2">
      <c r="T2716" t="s">
        <v>2896</v>
      </c>
    </row>
    <row r="2717" spans="20:20" x14ac:dyDescent="0.2">
      <c r="T2717" t="s">
        <v>2897</v>
      </c>
    </row>
    <row r="2718" spans="20:20" x14ac:dyDescent="0.2">
      <c r="T2718" t="s">
        <v>2898</v>
      </c>
    </row>
    <row r="2719" spans="20:20" x14ac:dyDescent="0.2">
      <c r="T2719" t="s">
        <v>2899</v>
      </c>
    </row>
    <row r="2720" spans="20:20" x14ac:dyDescent="0.2">
      <c r="T2720" t="s">
        <v>2900</v>
      </c>
    </row>
    <row r="2721" spans="20:20" x14ac:dyDescent="0.2">
      <c r="T2721" t="s">
        <v>2901</v>
      </c>
    </row>
    <row r="2722" spans="20:20" x14ac:dyDescent="0.2">
      <c r="T2722" t="s">
        <v>2902</v>
      </c>
    </row>
    <row r="2723" spans="20:20" x14ac:dyDescent="0.2">
      <c r="T2723" t="s">
        <v>2903</v>
      </c>
    </row>
    <row r="2724" spans="20:20" x14ac:dyDescent="0.2">
      <c r="T2724" t="s">
        <v>2287</v>
      </c>
    </row>
    <row r="2725" spans="20:20" x14ac:dyDescent="0.2">
      <c r="T2725" t="s">
        <v>2904</v>
      </c>
    </row>
    <row r="2726" spans="20:20" x14ac:dyDescent="0.2">
      <c r="T2726" t="s">
        <v>2905</v>
      </c>
    </row>
    <row r="2727" spans="20:20" x14ac:dyDescent="0.2">
      <c r="T2727" t="s">
        <v>2906</v>
      </c>
    </row>
    <row r="2728" spans="20:20" x14ac:dyDescent="0.2">
      <c r="T2728" t="s">
        <v>2907</v>
      </c>
    </row>
    <row r="2729" spans="20:20" x14ac:dyDescent="0.2">
      <c r="T2729" t="s">
        <v>2908</v>
      </c>
    </row>
    <row r="2730" spans="20:20" x14ac:dyDescent="0.2">
      <c r="T2730" t="s">
        <v>2909</v>
      </c>
    </row>
    <row r="2731" spans="20:20" x14ac:dyDescent="0.2">
      <c r="T2731" t="s">
        <v>2910</v>
      </c>
    </row>
    <row r="2732" spans="20:20" x14ac:dyDescent="0.2">
      <c r="T2732" t="s">
        <v>2911</v>
      </c>
    </row>
    <row r="2733" spans="20:20" x14ac:dyDescent="0.2">
      <c r="T2733" t="s">
        <v>2912</v>
      </c>
    </row>
    <row r="2734" spans="20:20" x14ac:dyDescent="0.2">
      <c r="T2734" t="s">
        <v>2913</v>
      </c>
    </row>
    <row r="2735" spans="20:20" x14ac:dyDescent="0.2">
      <c r="T2735" t="s">
        <v>2914</v>
      </c>
    </row>
    <row r="2736" spans="20:20" x14ac:dyDescent="0.2">
      <c r="T2736" t="s">
        <v>2915</v>
      </c>
    </row>
    <row r="2737" spans="20:20" x14ac:dyDescent="0.2">
      <c r="T2737" t="s">
        <v>2916</v>
      </c>
    </row>
    <row r="2738" spans="20:20" x14ac:dyDescent="0.2">
      <c r="T2738" t="s">
        <v>2917</v>
      </c>
    </row>
    <row r="2739" spans="20:20" x14ac:dyDescent="0.2">
      <c r="T2739" t="s">
        <v>2918</v>
      </c>
    </row>
    <row r="2740" spans="20:20" x14ac:dyDescent="0.2">
      <c r="T2740" t="s">
        <v>2919</v>
      </c>
    </row>
    <row r="2741" spans="20:20" x14ac:dyDescent="0.2">
      <c r="T2741" t="s">
        <v>2920</v>
      </c>
    </row>
    <row r="2742" spans="20:20" x14ac:dyDescent="0.2">
      <c r="T2742" t="s">
        <v>2921</v>
      </c>
    </row>
    <row r="2743" spans="20:20" x14ac:dyDescent="0.2">
      <c r="T2743" t="s">
        <v>2922</v>
      </c>
    </row>
    <row r="2744" spans="20:20" x14ac:dyDescent="0.2">
      <c r="T2744" t="s">
        <v>2923</v>
      </c>
    </row>
    <row r="2745" spans="20:20" x14ac:dyDescent="0.2">
      <c r="T2745" t="s">
        <v>2924</v>
      </c>
    </row>
    <row r="2746" spans="20:20" x14ac:dyDescent="0.2">
      <c r="T2746" t="s">
        <v>2925</v>
      </c>
    </row>
    <row r="2747" spans="20:20" x14ac:dyDescent="0.2">
      <c r="T2747" t="s">
        <v>2926</v>
      </c>
    </row>
    <row r="2748" spans="20:20" x14ac:dyDescent="0.2">
      <c r="T2748" t="s">
        <v>2927</v>
      </c>
    </row>
    <row r="2749" spans="20:20" x14ac:dyDescent="0.2">
      <c r="T2749" t="s">
        <v>2928</v>
      </c>
    </row>
    <row r="2750" spans="20:20" x14ac:dyDescent="0.2">
      <c r="T2750" t="s">
        <v>2929</v>
      </c>
    </row>
    <row r="2751" spans="20:20" x14ac:dyDescent="0.2">
      <c r="T2751" t="s">
        <v>2930</v>
      </c>
    </row>
    <row r="2752" spans="20:20" x14ac:dyDescent="0.2">
      <c r="T2752" t="s">
        <v>2931</v>
      </c>
    </row>
    <row r="2753" spans="20:20" x14ac:dyDescent="0.2">
      <c r="T2753" t="s">
        <v>2932</v>
      </c>
    </row>
    <row r="2754" spans="20:20" x14ac:dyDescent="0.2">
      <c r="T2754" t="s">
        <v>2933</v>
      </c>
    </row>
    <row r="2755" spans="20:20" x14ac:dyDescent="0.2">
      <c r="T2755" t="s">
        <v>2934</v>
      </c>
    </row>
    <row r="2756" spans="20:20" x14ac:dyDescent="0.2">
      <c r="T2756" t="s">
        <v>2935</v>
      </c>
    </row>
    <row r="2757" spans="20:20" x14ac:dyDescent="0.2">
      <c r="T2757" t="s">
        <v>2936</v>
      </c>
    </row>
    <row r="2758" spans="20:20" x14ac:dyDescent="0.2">
      <c r="T2758" t="s">
        <v>2937</v>
      </c>
    </row>
    <row r="2759" spans="20:20" x14ac:dyDescent="0.2">
      <c r="T2759" t="s">
        <v>2938</v>
      </c>
    </row>
    <row r="2760" spans="20:20" x14ac:dyDescent="0.2">
      <c r="T2760" t="s">
        <v>2939</v>
      </c>
    </row>
    <row r="2761" spans="20:20" x14ac:dyDescent="0.2">
      <c r="T2761" t="s">
        <v>2940</v>
      </c>
    </row>
    <row r="2762" spans="20:20" x14ac:dyDescent="0.2">
      <c r="T2762" t="s">
        <v>2941</v>
      </c>
    </row>
    <row r="2763" spans="20:20" x14ac:dyDescent="0.2">
      <c r="T2763" t="s">
        <v>2942</v>
      </c>
    </row>
    <row r="2764" spans="20:20" x14ac:dyDescent="0.2">
      <c r="T2764" t="s">
        <v>2943</v>
      </c>
    </row>
    <row r="2765" spans="20:20" x14ac:dyDescent="0.2">
      <c r="T2765" t="s">
        <v>2944</v>
      </c>
    </row>
    <row r="2766" spans="20:20" x14ac:dyDescent="0.2">
      <c r="T2766" t="s">
        <v>2945</v>
      </c>
    </row>
    <row r="2767" spans="20:20" x14ac:dyDescent="0.2">
      <c r="T2767" t="s">
        <v>2946</v>
      </c>
    </row>
    <row r="2768" spans="20:20" x14ac:dyDescent="0.2">
      <c r="T2768" t="s">
        <v>2947</v>
      </c>
    </row>
    <row r="2769" spans="20:20" x14ac:dyDescent="0.2">
      <c r="T2769" t="s">
        <v>2948</v>
      </c>
    </row>
    <row r="2770" spans="20:20" x14ac:dyDescent="0.2">
      <c r="T2770" t="s">
        <v>2949</v>
      </c>
    </row>
    <row r="2771" spans="20:20" x14ac:dyDescent="0.2">
      <c r="T2771" t="s">
        <v>2950</v>
      </c>
    </row>
    <row r="2772" spans="20:20" x14ac:dyDescent="0.2">
      <c r="T2772" t="s">
        <v>2951</v>
      </c>
    </row>
    <row r="2773" spans="20:20" x14ac:dyDescent="0.2">
      <c r="T2773" t="s">
        <v>2952</v>
      </c>
    </row>
    <row r="2774" spans="20:20" x14ac:dyDescent="0.2">
      <c r="T2774" t="s">
        <v>2953</v>
      </c>
    </row>
    <row r="2775" spans="20:20" x14ac:dyDescent="0.2">
      <c r="T2775" t="s">
        <v>2954</v>
      </c>
    </row>
    <row r="2776" spans="20:20" x14ac:dyDescent="0.2">
      <c r="T2776" t="s">
        <v>2955</v>
      </c>
    </row>
    <row r="2777" spans="20:20" x14ac:dyDescent="0.2">
      <c r="T2777" t="s">
        <v>2956</v>
      </c>
    </row>
    <row r="2778" spans="20:20" x14ac:dyDescent="0.2">
      <c r="T2778" t="s">
        <v>2957</v>
      </c>
    </row>
    <row r="2779" spans="20:20" x14ac:dyDescent="0.2">
      <c r="T2779" t="s">
        <v>2958</v>
      </c>
    </row>
    <row r="2780" spans="20:20" x14ac:dyDescent="0.2">
      <c r="T2780" t="s">
        <v>476</v>
      </c>
    </row>
    <row r="2781" spans="20:20" x14ac:dyDescent="0.2">
      <c r="T2781" t="s">
        <v>2959</v>
      </c>
    </row>
    <row r="2782" spans="20:20" x14ac:dyDescent="0.2">
      <c r="T2782" t="s">
        <v>2960</v>
      </c>
    </row>
    <row r="2783" spans="20:20" x14ac:dyDescent="0.2">
      <c r="T2783" t="s">
        <v>2961</v>
      </c>
    </row>
    <row r="2784" spans="20:20" x14ac:dyDescent="0.2">
      <c r="T2784" t="s">
        <v>2962</v>
      </c>
    </row>
    <row r="2785" spans="20:20" x14ac:dyDescent="0.2">
      <c r="T2785" t="s">
        <v>2963</v>
      </c>
    </row>
    <row r="2786" spans="20:20" x14ac:dyDescent="0.2">
      <c r="T2786" t="s">
        <v>2964</v>
      </c>
    </row>
    <row r="2787" spans="20:20" x14ac:dyDescent="0.2">
      <c r="T2787" t="s">
        <v>2965</v>
      </c>
    </row>
    <row r="2788" spans="20:20" x14ac:dyDescent="0.2">
      <c r="T2788" t="s">
        <v>2966</v>
      </c>
    </row>
    <row r="2789" spans="20:20" x14ac:dyDescent="0.2">
      <c r="T2789" t="s">
        <v>2967</v>
      </c>
    </row>
    <row r="2790" spans="20:20" x14ac:dyDescent="0.2">
      <c r="T2790" t="s">
        <v>2968</v>
      </c>
    </row>
    <row r="2791" spans="20:20" x14ac:dyDescent="0.2">
      <c r="T2791" t="s">
        <v>476</v>
      </c>
    </row>
    <row r="2792" spans="20:20" x14ac:dyDescent="0.2">
      <c r="T2792" t="s">
        <v>2969</v>
      </c>
    </row>
    <row r="2793" spans="20:20" x14ac:dyDescent="0.2">
      <c r="T2793" t="s">
        <v>2970</v>
      </c>
    </row>
    <row r="2794" spans="20:20" x14ac:dyDescent="0.2">
      <c r="T2794" t="s">
        <v>496</v>
      </c>
    </row>
    <row r="2795" spans="20:20" x14ac:dyDescent="0.2">
      <c r="T2795" t="s">
        <v>2971</v>
      </c>
    </row>
    <row r="2796" spans="20:20" x14ac:dyDescent="0.2">
      <c r="T2796" t="s">
        <v>2972</v>
      </c>
    </row>
    <row r="2797" spans="20:20" x14ac:dyDescent="0.2">
      <c r="T2797" t="s">
        <v>2973</v>
      </c>
    </row>
    <row r="2798" spans="20:20" x14ac:dyDescent="0.2">
      <c r="T2798" t="s">
        <v>2974</v>
      </c>
    </row>
    <row r="2799" spans="20:20" x14ac:dyDescent="0.2">
      <c r="T2799" t="s">
        <v>2975</v>
      </c>
    </row>
    <row r="2800" spans="20:20" x14ac:dyDescent="0.2">
      <c r="T2800" t="s">
        <v>2976</v>
      </c>
    </row>
    <row r="2801" spans="20:20" x14ac:dyDescent="0.2">
      <c r="T2801" t="s">
        <v>2977</v>
      </c>
    </row>
    <row r="2802" spans="20:20" x14ac:dyDescent="0.2">
      <c r="T2802" t="s">
        <v>472</v>
      </c>
    </row>
    <row r="2803" spans="20:20" x14ac:dyDescent="0.2">
      <c r="T2803" t="s">
        <v>473</v>
      </c>
    </row>
    <row r="2804" spans="20:20" x14ac:dyDescent="0.2">
      <c r="T2804" t="s">
        <v>2978</v>
      </c>
    </row>
    <row r="2805" spans="20:20" x14ac:dyDescent="0.2">
      <c r="T2805" t="s">
        <v>2979</v>
      </c>
    </row>
    <row r="2806" spans="20:20" x14ac:dyDescent="0.2">
      <c r="T2806" t="s">
        <v>2980</v>
      </c>
    </row>
    <row r="2807" spans="20:20" x14ac:dyDescent="0.2">
      <c r="T2807" t="s">
        <v>2981</v>
      </c>
    </row>
    <row r="2808" spans="20:20" x14ac:dyDescent="0.2">
      <c r="T2808" t="s">
        <v>2982</v>
      </c>
    </row>
    <row r="2809" spans="20:20" x14ac:dyDescent="0.2">
      <c r="T2809" t="s">
        <v>2983</v>
      </c>
    </row>
    <row r="2810" spans="20:20" x14ac:dyDescent="0.2">
      <c r="T2810" t="s">
        <v>2984</v>
      </c>
    </row>
    <row r="2811" spans="20:20" x14ac:dyDescent="0.2">
      <c r="T2811" t="s">
        <v>2985</v>
      </c>
    </row>
    <row r="2812" spans="20:20" x14ac:dyDescent="0.2">
      <c r="T2812" t="s">
        <v>2287</v>
      </c>
    </row>
    <row r="2813" spans="20:20" x14ac:dyDescent="0.2">
      <c r="T2813" t="s">
        <v>2986</v>
      </c>
    </row>
    <row r="2814" spans="20:20" x14ac:dyDescent="0.2">
      <c r="T2814" t="s">
        <v>2987</v>
      </c>
    </row>
    <row r="2815" spans="20:20" x14ac:dyDescent="0.2">
      <c r="T2815" t="s">
        <v>2988</v>
      </c>
    </row>
    <row r="2816" spans="20:20" x14ac:dyDescent="0.2">
      <c r="T2816" t="s">
        <v>2989</v>
      </c>
    </row>
    <row r="2817" spans="20:20" x14ac:dyDescent="0.2">
      <c r="T2817" t="s">
        <v>2990</v>
      </c>
    </row>
    <row r="2818" spans="20:20" x14ac:dyDescent="0.2">
      <c r="T2818" t="s">
        <v>2991</v>
      </c>
    </row>
    <row r="2819" spans="20:20" x14ac:dyDescent="0.2">
      <c r="T2819" t="s">
        <v>2992</v>
      </c>
    </row>
    <row r="2820" spans="20:20" x14ac:dyDescent="0.2">
      <c r="T2820" t="s">
        <v>2993</v>
      </c>
    </row>
    <row r="2821" spans="20:20" x14ac:dyDescent="0.2">
      <c r="T2821" t="s">
        <v>2994</v>
      </c>
    </row>
    <row r="2822" spans="20:20" x14ac:dyDescent="0.2">
      <c r="T2822" t="s">
        <v>2995</v>
      </c>
    </row>
    <row r="2823" spans="20:20" x14ac:dyDescent="0.2">
      <c r="T2823" t="s">
        <v>2996</v>
      </c>
    </row>
    <row r="2824" spans="20:20" x14ac:dyDescent="0.2">
      <c r="T2824" t="s">
        <v>2287</v>
      </c>
    </row>
    <row r="2825" spans="20:20" x14ac:dyDescent="0.2">
      <c r="T2825" t="s">
        <v>2997</v>
      </c>
    </row>
    <row r="2826" spans="20:20" x14ac:dyDescent="0.2">
      <c r="T2826" t="s">
        <v>2998</v>
      </c>
    </row>
    <row r="2827" spans="20:20" x14ac:dyDescent="0.2">
      <c r="T2827" t="s">
        <v>2999</v>
      </c>
    </row>
    <row r="2828" spans="20:20" x14ac:dyDescent="0.2">
      <c r="T2828" t="s">
        <v>3000</v>
      </c>
    </row>
    <row r="2829" spans="20:20" x14ac:dyDescent="0.2">
      <c r="T2829" t="s">
        <v>3001</v>
      </c>
    </row>
    <row r="2830" spans="20:20" x14ac:dyDescent="0.2">
      <c r="T2830" t="s">
        <v>3002</v>
      </c>
    </row>
    <row r="2831" spans="20:20" x14ac:dyDescent="0.2">
      <c r="T2831" t="s">
        <v>3003</v>
      </c>
    </row>
    <row r="2832" spans="20:20" x14ac:dyDescent="0.2">
      <c r="T2832" t="s">
        <v>3004</v>
      </c>
    </row>
    <row r="2833" spans="20:20" x14ac:dyDescent="0.2">
      <c r="T2833" t="s">
        <v>3005</v>
      </c>
    </row>
    <row r="2834" spans="20:20" x14ac:dyDescent="0.2">
      <c r="T2834" t="s">
        <v>3006</v>
      </c>
    </row>
    <row r="2835" spans="20:20" x14ac:dyDescent="0.2">
      <c r="T2835" t="s">
        <v>3007</v>
      </c>
    </row>
    <row r="2836" spans="20:20" x14ac:dyDescent="0.2">
      <c r="T2836" t="s">
        <v>3008</v>
      </c>
    </row>
    <row r="2837" spans="20:20" x14ac:dyDescent="0.2">
      <c r="T2837" t="s">
        <v>3009</v>
      </c>
    </row>
    <row r="2838" spans="20:20" x14ac:dyDescent="0.2">
      <c r="T2838" t="s">
        <v>3010</v>
      </c>
    </row>
    <row r="2839" spans="20:20" x14ac:dyDescent="0.2">
      <c r="T2839" t="s">
        <v>3011</v>
      </c>
    </row>
    <row r="2840" spans="20:20" x14ac:dyDescent="0.2">
      <c r="T2840" t="s">
        <v>3012</v>
      </c>
    </row>
    <row r="2841" spans="20:20" x14ac:dyDescent="0.2">
      <c r="T2841" t="s">
        <v>3013</v>
      </c>
    </row>
    <row r="2842" spans="20:20" x14ac:dyDescent="0.2">
      <c r="T2842" t="s">
        <v>3014</v>
      </c>
    </row>
    <row r="2843" spans="20:20" x14ac:dyDescent="0.2">
      <c r="T2843" t="s">
        <v>3015</v>
      </c>
    </row>
    <row r="2844" spans="20:20" x14ac:dyDescent="0.2">
      <c r="T2844" t="s">
        <v>3007</v>
      </c>
    </row>
    <row r="2845" spans="20:20" x14ac:dyDescent="0.2">
      <c r="T2845" t="s">
        <v>3008</v>
      </c>
    </row>
    <row r="2846" spans="20:20" x14ac:dyDescent="0.2">
      <c r="T2846" t="s">
        <v>3009</v>
      </c>
    </row>
    <row r="2847" spans="20:20" x14ac:dyDescent="0.2">
      <c r="T2847" t="s">
        <v>3016</v>
      </c>
    </row>
    <row r="2848" spans="20:20" x14ac:dyDescent="0.2">
      <c r="T2848" t="s">
        <v>3017</v>
      </c>
    </row>
    <row r="2849" spans="20:20" x14ac:dyDescent="0.2">
      <c r="T2849" t="s">
        <v>3018</v>
      </c>
    </row>
    <row r="2850" spans="20:20" x14ac:dyDescent="0.2">
      <c r="T2850" t="s">
        <v>3019</v>
      </c>
    </row>
    <row r="2851" spans="20:20" x14ac:dyDescent="0.2">
      <c r="T2851" t="s">
        <v>3020</v>
      </c>
    </row>
    <row r="2852" spans="20:20" x14ac:dyDescent="0.2">
      <c r="T2852" t="s">
        <v>3021</v>
      </c>
    </row>
    <row r="2853" spans="20:20" x14ac:dyDescent="0.2">
      <c r="T2853" t="s">
        <v>3022</v>
      </c>
    </row>
    <row r="2854" spans="20:20" x14ac:dyDescent="0.2">
      <c r="T2854" t="s">
        <v>3023</v>
      </c>
    </row>
    <row r="2855" spans="20:20" x14ac:dyDescent="0.2">
      <c r="T2855" t="s">
        <v>3024</v>
      </c>
    </row>
    <row r="2856" spans="20:20" x14ac:dyDescent="0.2">
      <c r="T2856" t="s">
        <v>3025</v>
      </c>
    </row>
    <row r="2857" spans="20:20" x14ac:dyDescent="0.2">
      <c r="T2857" t="s">
        <v>3026</v>
      </c>
    </row>
    <row r="2858" spans="20:20" x14ac:dyDescent="0.2">
      <c r="T2858" t="s">
        <v>3027</v>
      </c>
    </row>
    <row r="2859" spans="20:20" x14ac:dyDescent="0.2">
      <c r="T2859" t="s">
        <v>3028</v>
      </c>
    </row>
    <row r="2860" spans="20:20" x14ac:dyDescent="0.2">
      <c r="T2860" t="s">
        <v>3029</v>
      </c>
    </row>
    <row r="2861" spans="20:20" x14ac:dyDescent="0.2">
      <c r="T2861" t="s">
        <v>3030</v>
      </c>
    </row>
    <row r="2862" spans="20:20" x14ac:dyDescent="0.2">
      <c r="T2862" t="s">
        <v>3031</v>
      </c>
    </row>
    <row r="2863" spans="20:20" x14ac:dyDescent="0.2">
      <c r="T2863" t="s">
        <v>3032</v>
      </c>
    </row>
    <row r="2864" spans="20:20" x14ac:dyDescent="0.2">
      <c r="T2864" t="s">
        <v>472</v>
      </c>
    </row>
    <row r="2865" spans="20:20" x14ac:dyDescent="0.2">
      <c r="T2865" t="s">
        <v>3033</v>
      </c>
    </row>
    <row r="2866" spans="20:20" x14ac:dyDescent="0.2">
      <c r="T2866" t="s">
        <v>3034</v>
      </c>
    </row>
    <row r="2867" spans="20:20" x14ac:dyDescent="0.2">
      <c r="T2867" t="s">
        <v>3035</v>
      </c>
    </row>
    <row r="2868" spans="20:20" x14ac:dyDescent="0.2">
      <c r="T2868" t="s">
        <v>3036</v>
      </c>
    </row>
    <row r="2869" spans="20:20" x14ac:dyDescent="0.2">
      <c r="T2869" t="s">
        <v>3037</v>
      </c>
    </row>
    <row r="2870" spans="20:20" x14ac:dyDescent="0.2">
      <c r="T2870" t="s">
        <v>3038</v>
      </c>
    </row>
    <row r="2871" spans="20:20" x14ac:dyDescent="0.2">
      <c r="T2871" t="s">
        <v>3039</v>
      </c>
    </row>
    <row r="2872" spans="20:20" x14ac:dyDescent="0.2">
      <c r="T2872" t="s">
        <v>3040</v>
      </c>
    </row>
    <row r="2873" spans="20:20" x14ac:dyDescent="0.2">
      <c r="T2873" t="s">
        <v>3041</v>
      </c>
    </row>
    <row r="2874" spans="20:20" x14ac:dyDescent="0.2">
      <c r="T2874" t="s">
        <v>3042</v>
      </c>
    </row>
    <row r="2875" spans="20:20" x14ac:dyDescent="0.2">
      <c r="T2875" t="s">
        <v>3043</v>
      </c>
    </row>
    <row r="2876" spans="20:20" x14ac:dyDescent="0.2">
      <c r="T2876" t="s">
        <v>3044</v>
      </c>
    </row>
    <row r="2877" spans="20:20" x14ac:dyDescent="0.2">
      <c r="T2877" t="s">
        <v>3045</v>
      </c>
    </row>
    <row r="2878" spans="20:20" x14ac:dyDescent="0.2">
      <c r="T2878" t="s">
        <v>3046</v>
      </c>
    </row>
    <row r="2879" spans="20:20" x14ac:dyDescent="0.2">
      <c r="T2879" t="s">
        <v>3047</v>
      </c>
    </row>
    <row r="2880" spans="20:20" x14ac:dyDescent="0.2">
      <c r="T2880" t="s">
        <v>3048</v>
      </c>
    </row>
    <row r="2881" spans="20:20" x14ac:dyDescent="0.2">
      <c r="T2881" t="s">
        <v>3049</v>
      </c>
    </row>
    <row r="2882" spans="20:20" x14ac:dyDescent="0.2">
      <c r="T2882" t="s">
        <v>3050</v>
      </c>
    </row>
    <row r="2883" spans="20:20" x14ac:dyDescent="0.2">
      <c r="T2883" t="s">
        <v>3051</v>
      </c>
    </row>
    <row r="2884" spans="20:20" x14ac:dyDescent="0.2">
      <c r="T2884" t="s">
        <v>3052</v>
      </c>
    </row>
    <row r="2885" spans="20:20" x14ac:dyDescent="0.2">
      <c r="T2885" t="s">
        <v>472</v>
      </c>
    </row>
    <row r="2886" spans="20:20" x14ac:dyDescent="0.2">
      <c r="T2886" t="s">
        <v>476</v>
      </c>
    </row>
    <row r="2887" spans="20:20" x14ac:dyDescent="0.2">
      <c r="T2887" t="s">
        <v>3053</v>
      </c>
    </row>
    <row r="2888" spans="20:20" x14ac:dyDescent="0.2">
      <c r="T2888" t="s">
        <v>3054</v>
      </c>
    </row>
    <row r="2889" spans="20:20" x14ac:dyDescent="0.2">
      <c r="T2889" t="s">
        <v>3055</v>
      </c>
    </row>
    <row r="2890" spans="20:20" x14ac:dyDescent="0.2">
      <c r="T2890" t="s">
        <v>3056</v>
      </c>
    </row>
    <row r="2891" spans="20:20" x14ac:dyDescent="0.2">
      <c r="T2891" t="s">
        <v>3057</v>
      </c>
    </row>
    <row r="2892" spans="20:20" x14ac:dyDescent="0.2">
      <c r="T2892" t="s">
        <v>3058</v>
      </c>
    </row>
    <row r="2893" spans="20:20" x14ac:dyDescent="0.2">
      <c r="T2893" t="s">
        <v>3059</v>
      </c>
    </row>
    <row r="2894" spans="20:20" x14ac:dyDescent="0.2">
      <c r="T2894" t="s">
        <v>3060</v>
      </c>
    </row>
    <row r="2895" spans="20:20" x14ac:dyDescent="0.2">
      <c r="T2895" t="s">
        <v>3061</v>
      </c>
    </row>
    <row r="2896" spans="20:20" x14ac:dyDescent="0.2">
      <c r="T2896" t="s">
        <v>3062</v>
      </c>
    </row>
    <row r="2897" spans="20:20" x14ac:dyDescent="0.2">
      <c r="T2897" t="s">
        <v>2652</v>
      </c>
    </row>
    <row r="2898" spans="20:20" x14ac:dyDescent="0.2">
      <c r="T2898" t="s">
        <v>3063</v>
      </c>
    </row>
    <row r="2899" spans="20:20" x14ac:dyDescent="0.2">
      <c r="T2899" t="s">
        <v>3064</v>
      </c>
    </row>
    <row r="2900" spans="20:20" x14ac:dyDescent="0.2">
      <c r="T2900" t="s">
        <v>3065</v>
      </c>
    </row>
    <row r="2901" spans="20:20" x14ac:dyDescent="0.2">
      <c r="T2901" t="s">
        <v>3066</v>
      </c>
    </row>
    <row r="2902" spans="20:20" x14ac:dyDescent="0.2">
      <c r="T2902" t="s">
        <v>3067</v>
      </c>
    </row>
    <row r="2903" spans="20:20" x14ac:dyDescent="0.2">
      <c r="T2903" t="s">
        <v>496</v>
      </c>
    </row>
    <row r="2904" spans="20:20" x14ac:dyDescent="0.2">
      <c r="T2904" t="s">
        <v>3068</v>
      </c>
    </row>
    <row r="2905" spans="20:20" x14ac:dyDescent="0.2">
      <c r="T2905" t="s">
        <v>3069</v>
      </c>
    </row>
    <row r="2906" spans="20:20" x14ac:dyDescent="0.2">
      <c r="T2906" t="s">
        <v>3070</v>
      </c>
    </row>
    <row r="2907" spans="20:20" x14ac:dyDescent="0.2">
      <c r="T2907" t="s">
        <v>3071</v>
      </c>
    </row>
    <row r="2908" spans="20:20" x14ac:dyDescent="0.2">
      <c r="T2908" t="s">
        <v>3072</v>
      </c>
    </row>
    <row r="2909" spans="20:20" x14ac:dyDescent="0.2">
      <c r="T2909" t="s">
        <v>3073</v>
      </c>
    </row>
    <row r="2910" spans="20:20" x14ac:dyDescent="0.2">
      <c r="T2910" t="s">
        <v>3074</v>
      </c>
    </row>
    <row r="2911" spans="20:20" x14ac:dyDescent="0.2">
      <c r="T2911" t="s">
        <v>3075</v>
      </c>
    </row>
    <row r="2912" spans="20:20" x14ac:dyDescent="0.2">
      <c r="T2912" t="s">
        <v>3076</v>
      </c>
    </row>
    <row r="2913" spans="20:20" x14ac:dyDescent="0.2">
      <c r="T2913" t="s">
        <v>3077</v>
      </c>
    </row>
    <row r="2914" spans="20:20" x14ac:dyDescent="0.2">
      <c r="T2914" t="s">
        <v>3078</v>
      </c>
    </row>
    <row r="2915" spans="20:20" x14ac:dyDescent="0.2">
      <c r="T2915" t="s">
        <v>3079</v>
      </c>
    </row>
    <row r="2916" spans="20:20" x14ac:dyDescent="0.2">
      <c r="T2916" t="s">
        <v>3080</v>
      </c>
    </row>
    <row r="2917" spans="20:20" x14ac:dyDescent="0.2">
      <c r="T2917" t="s">
        <v>3081</v>
      </c>
    </row>
    <row r="2918" spans="20:20" x14ac:dyDescent="0.2">
      <c r="T2918" t="s">
        <v>3082</v>
      </c>
    </row>
    <row r="2919" spans="20:20" x14ac:dyDescent="0.2">
      <c r="T2919" t="s">
        <v>3083</v>
      </c>
    </row>
    <row r="2920" spans="20:20" x14ac:dyDescent="0.2">
      <c r="T2920" t="s">
        <v>3084</v>
      </c>
    </row>
    <row r="2921" spans="20:20" x14ac:dyDescent="0.2">
      <c r="T2921" t="s">
        <v>3085</v>
      </c>
    </row>
    <row r="2922" spans="20:20" x14ac:dyDescent="0.2">
      <c r="T2922" t="s">
        <v>3086</v>
      </c>
    </row>
    <row r="2923" spans="20:20" x14ac:dyDescent="0.2">
      <c r="T2923" t="s">
        <v>3087</v>
      </c>
    </row>
    <row r="2924" spans="20:20" x14ac:dyDescent="0.2">
      <c r="T2924" t="s">
        <v>3088</v>
      </c>
    </row>
    <row r="2925" spans="20:20" x14ac:dyDescent="0.2">
      <c r="T2925" t="s">
        <v>3089</v>
      </c>
    </row>
    <row r="2926" spans="20:20" x14ac:dyDescent="0.2">
      <c r="T2926" t="s">
        <v>3090</v>
      </c>
    </row>
    <row r="2927" spans="20:20" x14ac:dyDescent="0.2">
      <c r="T2927" t="s">
        <v>3091</v>
      </c>
    </row>
    <row r="2928" spans="20:20" x14ac:dyDescent="0.2">
      <c r="T2928" t="s">
        <v>3092</v>
      </c>
    </row>
    <row r="2929" spans="20:20" x14ac:dyDescent="0.2">
      <c r="T2929" t="s">
        <v>3093</v>
      </c>
    </row>
    <row r="2930" spans="20:20" x14ac:dyDescent="0.2">
      <c r="T2930" t="s">
        <v>3094</v>
      </c>
    </row>
    <row r="2931" spans="20:20" x14ac:dyDescent="0.2">
      <c r="T2931" t="s">
        <v>3095</v>
      </c>
    </row>
    <row r="2932" spans="20:20" x14ac:dyDescent="0.2">
      <c r="T2932" t="s">
        <v>3096</v>
      </c>
    </row>
    <row r="2933" spans="20:20" x14ac:dyDescent="0.2">
      <c r="T2933" t="s">
        <v>3097</v>
      </c>
    </row>
    <row r="2934" spans="20:20" x14ac:dyDescent="0.2">
      <c r="T2934" t="s">
        <v>3098</v>
      </c>
    </row>
    <row r="2935" spans="20:20" x14ac:dyDescent="0.2">
      <c r="T2935" t="s">
        <v>3099</v>
      </c>
    </row>
    <row r="2936" spans="20:20" x14ac:dyDescent="0.2">
      <c r="T2936" t="s">
        <v>3100</v>
      </c>
    </row>
    <row r="2937" spans="20:20" x14ac:dyDescent="0.2">
      <c r="T2937" t="s">
        <v>3101</v>
      </c>
    </row>
    <row r="2938" spans="20:20" x14ac:dyDescent="0.2">
      <c r="T2938" t="s">
        <v>3102</v>
      </c>
    </row>
    <row r="2939" spans="20:20" x14ac:dyDescent="0.2">
      <c r="T2939" t="s">
        <v>3103</v>
      </c>
    </row>
    <row r="2940" spans="20:20" x14ac:dyDescent="0.2">
      <c r="T2940" t="s">
        <v>3104</v>
      </c>
    </row>
    <row r="2941" spans="20:20" x14ac:dyDescent="0.2">
      <c r="T2941" t="s">
        <v>3105</v>
      </c>
    </row>
    <row r="2942" spans="20:20" x14ac:dyDescent="0.2">
      <c r="T2942" t="s">
        <v>3106</v>
      </c>
    </row>
    <row r="2943" spans="20:20" x14ac:dyDescent="0.2">
      <c r="T2943" t="s">
        <v>3107</v>
      </c>
    </row>
    <row r="2944" spans="20:20" x14ac:dyDescent="0.2">
      <c r="T2944" t="s">
        <v>3108</v>
      </c>
    </row>
    <row r="2945" spans="20:20" x14ac:dyDescent="0.2">
      <c r="T2945" t="s">
        <v>427</v>
      </c>
    </row>
    <row r="2946" spans="20:20" x14ac:dyDescent="0.2">
      <c r="T2946" t="s">
        <v>3109</v>
      </c>
    </row>
    <row r="2947" spans="20:20" x14ac:dyDescent="0.2">
      <c r="T2947" t="s">
        <v>3110</v>
      </c>
    </row>
    <row r="2948" spans="20:20" x14ac:dyDescent="0.2">
      <c r="T2948" t="s">
        <v>3111</v>
      </c>
    </row>
    <row r="2949" spans="20:20" x14ac:dyDescent="0.2">
      <c r="T2949" t="s">
        <v>3112</v>
      </c>
    </row>
    <row r="2950" spans="20:20" x14ac:dyDescent="0.2">
      <c r="T2950" t="s">
        <v>496</v>
      </c>
    </row>
    <row r="2951" spans="20:20" x14ac:dyDescent="0.2">
      <c r="T2951" t="s">
        <v>3113</v>
      </c>
    </row>
    <row r="2952" spans="20:20" x14ac:dyDescent="0.2">
      <c r="T2952" t="s">
        <v>3114</v>
      </c>
    </row>
    <row r="2953" spans="20:20" x14ac:dyDescent="0.2">
      <c r="T2953" t="s">
        <v>3115</v>
      </c>
    </row>
    <row r="2954" spans="20:20" x14ac:dyDescent="0.2">
      <c r="T2954" t="s">
        <v>3116</v>
      </c>
    </row>
    <row r="2955" spans="20:20" x14ac:dyDescent="0.2">
      <c r="T2955" t="s">
        <v>3117</v>
      </c>
    </row>
    <row r="2956" spans="20:20" x14ac:dyDescent="0.2">
      <c r="T2956" t="s">
        <v>3113</v>
      </c>
    </row>
    <row r="2957" spans="20:20" x14ac:dyDescent="0.2">
      <c r="T2957" t="s">
        <v>3118</v>
      </c>
    </row>
    <row r="2958" spans="20:20" x14ac:dyDescent="0.2">
      <c r="T2958" t="s">
        <v>2287</v>
      </c>
    </row>
    <row r="2959" spans="20:20" x14ac:dyDescent="0.2">
      <c r="T2959" t="s">
        <v>3119</v>
      </c>
    </row>
    <row r="2960" spans="20:20" x14ac:dyDescent="0.2">
      <c r="T2960" t="s">
        <v>3120</v>
      </c>
    </row>
    <row r="2961" spans="20:20" x14ac:dyDescent="0.2">
      <c r="T2961" t="s">
        <v>3121</v>
      </c>
    </row>
    <row r="2962" spans="20:20" x14ac:dyDescent="0.2">
      <c r="T2962" t="s">
        <v>3122</v>
      </c>
    </row>
    <row r="2963" spans="20:20" x14ac:dyDescent="0.2">
      <c r="T2963" t="s">
        <v>3123</v>
      </c>
    </row>
    <row r="2964" spans="20:20" x14ac:dyDescent="0.2">
      <c r="T2964" t="s">
        <v>3124</v>
      </c>
    </row>
    <row r="2965" spans="20:20" x14ac:dyDescent="0.2">
      <c r="T2965" t="s">
        <v>3125</v>
      </c>
    </row>
    <row r="2966" spans="20:20" x14ac:dyDescent="0.2">
      <c r="T2966" t="s">
        <v>3126</v>
      </c>
    </row>
    <row r="2967" spans="20:20" x14ac:dyDescent="0.2">
      <c r="T2967" t="s">
        <v>2845</v>
      </c>
    </row>
    <row r="2968" spans="20:20" x14ac:dyDescent="0.2">
      <c r="T2968" t="s">
        <v>3127</v>
      </c>
    </row>
    <row r="2969" spans="20:20" x14ac:dyDescent="0.2">
      <c r="T2969" t="s">
        <v>3128</v>
      </c>
    </row>
    <row r="2970" spans="20:20" x14ac:dyDescent="0.2">
      <c r="T2970" t="s">
        <v>3129</v>
      </c>
    </row>
    <row r="2971" spans="20:20" x14ac:dyDescent="0.2">
      <c r="T2971" t="s">
        <v>3130</v>
      </c>
    </row>
    <row r="2972" spans="20:20" x14ac:dyDescent="0.2">
      <c r="T2972" t="s">
        <v>3131</v>
      </c>
    </row>
    <row r="2973" spans="20:20" x14ac:dyDescent="0.2">
      <c r="T2973" t="s">
        <v>3132</v>
      </c>
    </row>
    <row r="2974" spans="20:20" x14ac:dyDescent="0.2">
      <c r="T2974" t="s">
        <v>3133</v>
      </c>
    </row>
    <row r="2975" spans="20:20" x14ac:dyDescent="0.2">
      <c r="T2975" t="s">
        <v>2845</v>
      </c>
    </row>
    <row r="2976" spans="20:20" x14ac:dyDescent="0.2">
      <c r="T2976" t="s">
        <v>3134</v>
      </c>
    </row>
    <row r="2977" spans="20:20" x14ac:dyDescent="0.2">
      <c r="T2977" t="s">
        <v>3135</v>
      </c>
    </row>
    <row r="2978" spans="20:20" x14ac:dyDescent="0.2">
      <c r="T2978" t="s">
        <v>3136</v>
      </c>
    </row>
    <row r="2979" spans="20:20" x14ac:dyDescent="0.2">
      <c r="T2979" t="s">
        <v>3137</v>
      </c>
    </row>
    <row r="2980" spans="20:20" x14ac:dyDescent="0.2">
      <c r="T2980" t="s">
        <v>3138</v>
      </c>
    </row>
    <row r="2981" spans="20:20" x14ac:dyDescent="0.2">
      <c r="T2981" t="s">
        <v>3139</v>
      </c>
    </row>
    <row r="2982" spans="20:20" x14ac:dyDescent="0.2">
      <c r="T2982" t="s">
        <v>3140</v>
      </c>
    </row>
    <row r="2983" spans="20:20" x14ac:dyDescent="0.2">
      <c r="T2983" t="s">
        <v>3141</v>
      </c>
    </row>
    <row r="2984" spans="20:20" x14ac:dyDescent="0.2">
      <c r="T2984" t="s">
        <v>3142</v>
      </c>
    </row>
    <row r="2985" spans="20:20" x14ac:dyDescent="0.2">
      <c r="T2985" t="s">
        <v>3143</v>
      </c>
    </row>
    <row r="2986" spans="20:20" x14ac:dyDescent="0.2">
      <c r="T2986" t="s">
        <v>3144</v>
      </c>
    </row>
    <row r="2987" spans="20:20" x14ac:dyDescent="0.2">
      <c r="T2987" t="s">
        <v>3145</v>
      </c>
    </row>
    <row r="2988" spans="20:20" x14ac:dyDescent="0.2">
      <c r="T2988" t="s">
        <v>3146</v>
      </c>
    </row>
    <row r="2989" spans="20:20" x14ac:dyDescent="0.2">
      <c r="T2989" t="s">
        <v>1660</v>
      </c>
    </row>
    <row r="2990" spans="20:20" x14ac:dyDescent="0.2">
      <c r="T2990" t="s">
        <v>3147</v>
      </c>
    </row>
    <row r="2991" spans="20:20" x14ac:dyDescent="0.2">
      <c r="T2991" t="s">
        <v>3148</v>
      </c>
    </row>
    <row r="2992" spans="20:20" x14ac:dyDescent="0.2">
      <c r="T2992" t="s">
        <v>3149</v>
      </c>
    </row>
    <row r="2993" spans="20:20" x14ac:dyDescent="0.2">
      <c r="T2993" t="s">
        <v>3150</v>
      </c>
    </row>
    <row r="2994" spans="20:20" x14ac:dyDescent="0.2">
      <c r="T2994" t="s">
        <v>3151</v>
      </c>
    </row>
    <row r="2995" spans="20:20" x14ac:dyDescent="0.2">
      <c r="T2995" t="s">
        <v>3152</v>
      </c>
    </row>
    <row r="2996" spans="20:20" x14ac:dyDescent="0.2">
      <c r="T2996" t="s">
        <v>3153</v>
      </c>
    </row>
    <row r="2997" spans="20:20" x14ac:dyDescent="0.2">
      <c r="T2997" t="s">
        <v>3154</v>
      </c>
    </row>
    <row r="2998" spans="20:20" x14ac:dyDescent="0.2">
      <c r="T2998" t="s">
        <v>3155</v>
      </c>
    </row>
    <row r="2999" spans="20:20" x14ac:dyDescent="0.2">
      <c r="T2999" t="s">
        <v>3156</v>
      </c>
    </row>
    <row r="3000" spans="20:20" x14ac:dyDescent="0.2">
      <c r="T3000" t="s">
        <v>3157</v>
      </c>
    </row>
    <row r="3001" spans="20:20" x14ac:dyDescent="0.2">
      <c r="T3001" t="s">
        <v>3158</v>
      </c>
    </row>
    <row r="3002" spans="20:20" x14ac:dyDescent="0.2">
      <c r="T3002" t="s">
        <v>3159</v>
      </c>
    </row>
    <row r="3003" spans="20:20" x14ac:dyDescent="0.2">
      <c r="T3003" t="s">
        <v>3160</v>
      </c>
    </row>
    <row r="3004" spans="20:20" x14ac:dyDescent="0.2">
      <c r="T3004" t="s">
        <v>3161</v>
      </c>
    </row>
    <row r="3005" spans="20:20" x14ac:dyDescent="0.2">
      <c r="T3005" t="s">
        <v>3162</v>
      </c>
    </row>
    <row r="3006" spans="20:20" x14ac:dyDescent="0.2">
      <c r="T3006" t="s">
        <v>3152</v>
      </c>
    </row>
    <row r="3007" spans="20:20" x14ac:dyDescent="0.2">
      <c r="T3007" t="s">
        <v>3163</v>
      </c>
    </row>
    <row r="3008" spans="20:20" x14ac:dyDescent="0.2">
      <c r="T3008" t="s">
        <v>3164</v>
      </c>
    </row>
    <row r="3009" spans="20:20" x14ac:dyDescent="0.2">
      <c r="T3009" t="s">
        <v>3165</v>
      </c>
    </row>
    <row r="3010" spans="20:20" x14ac:dyDescent="0.2">
      <c r="T3010" t="s">
        <v>3166</v>
      </c>
    </row>
    <row r="3011" spans="20:20" x14ac:dyDescent="0.2">
      <c r="T3011" t="s">
        <v>3167</v>
      </c>
    </row>
    <row r="3012" spans="20:20" x14ac:dyDescent="0.2">
      <c r="T3012" t="s">
        <v>3168</v>
      </c>
    </row>
    <row r="3013" spans="20:20" x14ac:dyDescent="0.2">
      <c r="T3013" t="s">
        <v>3169</v>
      </c>
    </row>
    <row r="3014" spans="20:20" x14ac:dyDescent="0.2">
      <c r="T3014" t="s">
        <v>3170</v>
      </c>
    </row>
    <row r="3015" spans="20:20" x14ac:dyDescent="0.2">
      <c r="T3015" t="s">
        <v>3171</v>
      </c>
    </row>
    <row r="3016" spans="20:20" x14ac:dyDescent="0.2">
      <c r="T3016" t="s">
        <v>3162</v>
      </c>
    </row>
    <row r="3017" spans="20:20" x14ac:dyDescent="0.2">
      <c r="T3017" t="s">
        <v>3152</v>
      </c>
    </row>
    <row r="3018" spans="20:20" x14ac:dyDescent="0.2">
      <c r="T3018" t="s">
        <v>3172</v>
      </c>
    </row>
    <row r="3019" spans="20:20" x14ac:dyDescent="0.2">
      <c r="T3019" t="s">
        <v>3173</v>
      </c>
    </row>
    <row r="3020" spans="20:20" x14ac:dyDescent="0.2">
      <c r="T3020" t="s">
        <v>3174</v>
      </c>
    </row>
    <row r="3021" spans="20:20" x14ac:dyDescent="0.2">
      <c r="T3021" t="s">
        <v>3175</v>
      </c>
    </row>
    <row r="3022" spans="20:20" x14ac:dyDescent="0.2">
      <c r="T3022" t="s">
        <v>3176</v>
      </c>
    </row>
    <row r="3023" spans="20:20" x14ac:dyDescent="0.2">
      <c r="T3023" t="s">
        <v>3177</v>
      </c>
    </row>
    <row r="3024" spans="20:20" x14ac:dyDescent="0.2">
      <c r="T3024" t="s">
        <v>3178</v>
      </c>
    </row>
    <row r="3025" spans="20:20" x14ac:dyDescent="0.2">
      <c r="T3025" t="s">
        <v>3179</v>
      </c>
    </row>
    <row r="3026" spans="20:20" x14ac:dyDescent="0.2">
      <c r="T3026" t="s">
        <v>3180</v>
      </c>
    </row>
    <row r="3027" spans="20:20" x14ac:dyDescent="0.2">
      <c r="T3027" t="s">
        <v>3181</v>
      </c>
    </row>
    <row r="3028" spans="20:20" x14ac:dyDescent="0.2">
      <c r="T3028" t="s">
        <v>3182</v>
      </c>
    </row>
    <row r="3029" spans="20:20" x14ac:dyDescent="0.2">
      <c r="T3029" t="s">
        <v>3183</v>
      </c>
    </row>
    <row r="3030" spans="20:20" x14ac:dyDescent="0.2">
      <c r="T3030" t="s">
        <v>3184</v>
      </c>
    </row>
    <row r="3031" spans="20:20" x14ac:dyDescent="0.2">
      <c r="T3031" t="s">
        <v>3185</v>
      </c>
    </row>
    <row r="3032" spans="20:20" x14ac:dyDescent="0.2">
      <c r="T3032" t="s">
        <v>3186</v>
      </c>
    </row>
    <row r="3033" spans="20:20" x14ac:dyDescent="0.2">
      <c r="T3033" t="s">
        <v>3187</v>
      </c>
    </row>
    <row r="3034" spans="20:20" x14ac:dyDescent="0.2">
      <c r="T3034" t="s">
        <v>3188</v>
      </c>
    </row>
    <row r="3035" spans="20:20" x14ac:dyDescent="0.2">
      <c r="T3035" t="s">
        <v>3189</v>
      </c>
    </row>
    <row r="3036" spans="20:20" x14ac:dyDescent="0.2">
      <c r="T3036" t="s">
        <v>3190</v>
      </c>
    </row>
    <row r="3037" spans="20:20" x14ac:dyDescent="0.2">
      <c r="T3037" t="s">
        <v>3191</v>
      </c>
    </row>
    <row r="3038" spans="20:20" x14ac:dyDescent="0.2">
      <c r="T3038" t="s">
        <v>3192</v>
      </c>
    </row>
    <row r="3039" spans="20:20" x14ac:dyDescent="0.2">
      <c r="T3039" t="s">
        <v>3193</v>
      </c>
    </row>
    <row r="3040" spans="20:20" x14ac:dyDescent="0.2">
      <c r="T3040" t="s">
        <v>3194</v>
      </c>
    </row>
    <row r="3041" spans="20:20" x14ac:dyDescent="0.2">
      <c r="T3041" t="s">
        <v>3195</v>
      </c>
    </row>
    <row r="3042" spans="20:20" x14ac:dyDescent="0.2">
      <c r="T3042" t="s">
        <v>3196</v>
      </c>
    </row>
    <row r="3043" spans="20:20" x14ac:dyDescent="0.2">
      <c r="T3043" t="s">
        <v>3197</v>
      </c>
    </row>
    <row r="3044" spans="20:20" x14ac:dyDescent="0.2">
      <c r="T3044" t="s">
        <v>3198</v>
      </c>
    </row>
    <row r="3045" spans="20:20" x14ac:dyDescent="0.2">
      <c r="T3045" t="s">
        <v>3199</v>
      </c>
    </row>
    <row r="3046" spans="20:20" x14ac:dyDescent="0.2">
      <c r="T3046" t="s">
        <v>3200</v>
      </c>
    </row>
    <row r="3047" spans="20:20" x14ac:dyDescent="0.2">
      <c r="T3047" t="s">
        <v>3201</v>
      </c>
    </row>
    <row r="3048" spans="20:20" x14ac:dyDescent="0.2">
      <c r="T3048" t="s">
        <v>3202</v>
      </c>
    </row>
    <row r="3049" spans="20:20" x14ac:dyDescent="0.2">
      <c r="T3049" t="s">
        <v>3203</v>
      </c>
    </row>
    <row r="3050" spans="20:20" x14ac:dyDescent="0.2">
      <c r="T3050" t="s">
        <v>3204</v>
      </c>
    </row>
    <row r="3051" spans="20:20" x14ac:dyDescent="0.2">
      <c r="T3051" t="s">
        <v>3205</v>
      </c>
    </row>
    <row r="3052" spans="20:20" x14ac:dyDescent="0.2">
      <c r="T3052" t="s">
        <v>3206</v>
      </c>
    </row>
    <row r="3053" spans="20:20" x14ac:dyDescent="0.2">
      <c r="T3053" t="s">
        <v>3207</v>
      </c>
    </row>
    <row r="3054" spans="20:20" x14ac:dyDescent="0.2">
      <c r="T3054" t="s">
        <v>3208</v>
      </c>
    </row>
    <row r="3055" spans="20:20" x14ac:dyDescent="0.2">
      <c r="T3055" t="s">
        <v>3209</v>
      </c>
    </row>
    <row r="3056" spans="20:20" x14ac:dyDescent="0.2">
      <c r="T3056" t="s">
        <v>3210</v>
      </c>
    </row>
    <row r="3057" spans="20:20" x14ac:dyDescent="0.2">
      <c r="T3057" t="s">
        <v>3211</v>
      </c>
    </row>
    <row r="3058" spans="20:20" x14ac:dyDescent="0.2">
      <c r="T3058" t="s">
        <v>3212</v>
      </c>
    </row>
    <row r="3059" spans="20:20" x14ac:dyDescent="0.2">
      <c r="T3059" t="s">
        <v>3213</v>
      </c>
    </row>
    <row r="3060" spans="20:20" x14ac:dyDescent="0.2">
      <c r="T3060" t="s">
        <v>3214</v>
      </c>
    </row>
    <row r="3061" spans="20:20" x14ac:dyDescent="0.2">
      <c r="T3061" t="s">
        <v>3215</v>
      </c>
    </row>
    <row r="3062" spans="20:20" x14ac:dyDescent="0.2">
      <c r="T3062" t="s">
        <v>3216</v>
      </c>
    </row>
    <row r="3063" spans="20:20" x14ac:dyDescent="0.2">
      <c r="T3063" t="s">
        <v>3217</v>
      </c>
    </row>
    <row r="3064" spans="20:20" x14ac:dyDescent="0.2">
      <c r="T3064" t="s">
        <v>3218</v>
      </c>
    </row>
    <row r="3065" spans="20:20" x14ac:dyDescent="0.2">
      <c r="T3065" t="s">
        <v>3219</v>
      </c>
    </row>
    <row r="3066" spans="20:20" x14ac:dyDescent="0.2">
      <c r="T3066" t="s">
        <v>3220</v>
      </c>
    </row>
    <row r="3067" spans="20:20" x14ac:dyDescent="0.2">
      <c r="T3067" t="s">
        <v>3221</v>
      </c>
    </row>
    <row r="3068" spans="20:20" x14ac:dyDescent="0.2">
      <c r="T3068" t="s">
        <v>3216</v>
      </c>
    </row>
    <row r="3069" spans="20:20" x14ac:dyDescent="0.2">
      <c r="T3069" t="s">
        <v>3217</v>
      </c>
    </row>
    <row r="3070" spans="20:20" x14ac:dyDescent="0.2">
      <c r="T3070" t="s">
        <v>3222</v>
      </c>
    </row>
    <row r="3071" spans="20:20" x14ac:dyDescent="0.2">
      <c r="T3071" t="s">
        <v>2287</v>
      </c>
    </row>
    <row r="3072" spans="20:20" x14ac:dyDescent="0.2">
      <c r="T3072" t="s">
        <v>3223</v>
      </c>
    </row>
    <row r="3073" spans="20:20" x14ac:dyDescent="0.2">
      <c r="T3073" t="s">
        <v>2287</v>
      </c>
    </row>
    <row r="3074" spans="20:20" x14ac:dyDescent="0.2">
      <c r="T3074" t="s">
        <v>3224</v>
      </c>
    </row>
    <row r="3075" spans="20:20" x14ac:dyDescent="0.2">
      <c r="T3075" t="s">
        <v>3225</v>
      </c>
    </row>
    <row r="3076" spans="20:20" x14ac:dyDescent="0.2">
      <c r="T3076" t="s">
        <v>3226</v>
      </c>
    </row>
    <row r="3077" spans="20:20" x14ac:dyDescent="0.2">
      <c r="T3077" t="s">
        <v>3227</v>
      </c>
    </row>
    <row r="3078" spans="20:20" x14ac:dyDescent="0.2">
      <c r="T3078" t="s">
        <v>3146</v>
      </c>
    </row>
    <row r="3079" spans="20:20" x14ac:dyDescent="0.2">
      <c r="T3079" t="s">
        <v>1660</v>
      </c>
    </row>
    <row r="3080" spans="20:20" x14ac:dyDescent="0.2">
      <c r="T3080" t="s">
        <v>496</v>
      </c>
    </row>
    <row r="3081" spans="20:20" x14ac:dyDescent="0.2">
      <c r="T3081" t="s">
        <v>3228</v>
      </c>
    </row>
    <row r="3082" spans="20:20" x14ac:dyDescent="0.2">
      <c r="T3082" t="s">
        <v>3229</v>
      </c>
    </row>
    <row r="3083" spans="20:20" x14ac:dyDescent="0.2">
      <c r="T3083" t="s">
        <v>3230</v>
      </c>
    </row>
    <row r="3084" spans="20:20" x14ac:dyDescent="0.2">
      <c r="T3084" t="s">
        <v>3231</v>
      </c>
    </row>
    <row r="3085" spans="20:20" x14ac:dyDescent="0.2">
      <c r="T3085" t="s">
        <v>3232</v>
      </c>
    </row>
    <row r="3086" spans="20:20" x14ac:dyDescent="0.2">
      <c r="T3086" t="s">
        <v>3233</v>
      </c>
    </row>
    <row r="3087" spans="20:20" x14ac:dyDescent="0.2">
      <c r="T3087" t="s">
        <v>482</v>
      </c>
    </row>
    <row r="3088" spans="20:20" x14ac:dyDescent="0.2">
      <c r="T3088" t="s">
        <v>3234</v>
      </c>
    </row>
    <row r="3089" spans="20:20" x14ac:dyDescent="0.2">
      <c r="T3089" t="s">
        <v>3235</v>
      </c>
    </row>
    <row r="3090" spans="20:20" x14ac:dyDescent="0.2">
      <c r="T3090" t="s">
        <v>3236</v>
      </c>
    </row>
    <row r="3091" spans="20:20" x14ac:dyDescent="0.2">
      <c r="T3091" t="s">
        <v>482</v>
      </c>
    </row>
    <row r="3092" spans="20:20" x14ac:dyDescent="0.2">
      <c r="T3092" t="s">
        <v>3237</v>
      </c>
    </row>
    <row r="3093" spans="20:20" x14ac:dyDescent="0.2">
      <c r="T3093" t="s">
        <v>3238</v>
      </c>
    </row>
    <row r="3094" spans="20:20" x14ac:dyDescent="0.2">
      <c r="T3094" t="s">
        <v>3239</v>
      </c>
    </row>
    <row r="3095" spans="20:20" x14ac:dyDescent="0.2">
      <c r="T3095" t="s">
        <v>3240</v>
      </c>
    </row>
    <row r="3096" spans="20:20" x14ac:dyDescent="0.2">
      <c r="T3096" t="s">
        <v>3241</v>
      </c>
    </row>
    <row r="3097" spans="20:20" x14ac:dyDescent="0.2">
      <c r="T3097" t="s">
        <v>3242</v>
      </c>
    </row>
    <row r="3098" spans="20:20" x14ac:dyDescent="0.2">
      <c r="T3098" t="s">
        <v>3243</v>
      </c>
    </row>
    <row r="3099" spans="20:20" x14ac:dyDescent="0.2">
      <c r="T3099" t="s">
        <v>3244</v>
      </c>
    </row>
    <row r="3100" spans="20:20" x14ac:dyDescent="0.2">
      <c r="T3100" t="s">
        <v>3245</v>
      </c>
    </row>
    <row r="3101" spans="20:20" x14ac:dyDescent="0.2">
      <c r="T3101" t="s">
        <v>3246</v>
      </c>
    </row>
    <row r="3102" spans="20:20" x14ac:dyDescent="0.2">
      <c r="T3102" t="s">
        <v>3247</v>
      </c>
    </row>
    <row r="3103" spans="20:20" x14ac:dyDescent="0.2">
      <c r="T3103" t="s">
        <v>3248</v>
      </c>
    </row>
    <row r="3104" spans="20:20" x14ac:dyDescent="0.2">
      <c r="T3104" t="s">
        <v>3249</v>
      </c>
    </row>
    <row r="3105" spans="20:20" x14ac:dyDescent="0.2">
      <c r="T3105" t="s">
        <v>3250</v>
      </c>
    </row>
    <row r="3106" spans="20:20" x14ac:dyDescent="0.2">
      <c r="T3106" t="s">
        <v>3251</v>
      </c>
    </row>
    <row r="3107" spans="20:20" x14ac:dyDescent="0.2">
      <c r="T3107" t="s">
        <v>3146</v>
      </c>
    </row>
    <row r="3108" spans="20:20" x14ac:dyDescent="0.2">
      <c r="T3108" t="s">
        <v>1660</v>
      </c>
    </row>
    <row r="3109" spans="20:20" x14ac:dyDescent="0.2">
      <c r="T3109" t="s">
        <v>3252</v>
      </c>
    </row>
    <row r="3110" spans="20:20" x14ac:dyDescent="0.2">
      <c r="T3110" t="s">
        <v>3253</v>
      </c>
    </row>
    <row r="3111" spans="20:20" x14ac:dyDescent="0.2">
      <c r="T3111" t="s">
        <v>3254</v>
      </c>
    </row>
    <row r="3112" spans="20:20" x14ac:dyDescent="0.2">
      <c r="T3112" t="s">
        <v>3255</v>
      </c>
    </row>
    <row r="3113" spans="20:20" x14ac:dyDescent="0.2">
      <c r="T3113" t="s">
        <v>3256</v>
      </c>
    </row>
    <row r="3114" spans="20:20" x14ac:dyDescent="0.2">
      <c r="T3114" t="s">
        <v>3257</v>
      </c>
    </row>
    <row r="3115" spans="20:20" x14ac:dyDescent="0.2">
      <c r="T3115" t="s">
        <v>3258</v>
      </c>
    </row>
    <row r="3116" spans="20:20" x14ac:dyDescent="0.2">
      <c r="T3116" t="s">
        <v>3259</v>
      </c>
    </row>
    <row r="3117" spans="20:20" x14ac:dyDescent="0.2">
      <c r="T3117" t="s">
        <v>3260</v>
      </c>
    </row>
    <row r="3118" spans="20:20" x14ac:dyDescent="0.2">
      <c r="T3118" t="s">
        <v>3261</v>
      </c>
    </row>
    <row r="3119" spans="20:20" x14ac:dyDescent="0.2">
      <c r="T3119" t="s">
        <v>496</v>
      </c>
    </row>
    <row r="3120" spans="20:20" x14ac:dyDescent="0.2">
      <c r="T3120" t="s">
        <v>3262</v>
      </c>
    </row>
    <row r="3121" spans="20:20" x14ac:dyDescent="0.2">
      <c r="T3121" t="s">
        <v>3263</v>
      </c>
    </row>
    <row r="3122" spans="20:20" x14ac:dyDescent="0.2">
      <c r="T3122" t="s">
        <v>2652</v>
      </c>
    </row>
    <row r="3123" spans="20:20" x14ac:dyDescent="0.2">
      <c r="T3123" t="s">
        <v>3264</v>
      </c>
    </row>
    <row r="3124" spans="20:20" x14ac:dyDescent="0.2">
      <c r="T3124" t="s">
        <v>3265</v>
      </c>
    </row>
    <row r="3125" spans="20:20" x14ac:dyDescent="0.2">
      <c r="T3125" t="s">
        <v>1068</v>
      </c>
    </row>
    <row r="3126" spans="20:20" x14ac:dyDescent="0.2">
      <c r="T3126" t="s">
        <v>3266</v>
      </c>
    </row>
    <row r="3127" spans="20:20" x14ac:dyDescent="0.2">
      <c r="T3127" t="s">
        <v>562</v>
      </c>
    </row>
    <row r="3128" spans="20:20" x14ac:dyDescent="0.2">
      <c r="T3128" t="s">
        <v>3267</v>
      </c>
    </row>
    <row r="3129" spans="20:20" x14ac:dyDescent="0.2">
      <c r="T3129" t="s">
        <v>799</v>
      </c>
    </row>
    <row r="3130" spans="20:20" x14ac:dyDescent="0.2">
      <c r="T3130" t="s">
        <v>3268</v>
      </c>
    </row>
    <row r="3131" spans="20:20" x14ac:dyDescent="0.2">
      <c r="T3131" t="s">
        <v>3269</v>
      </c>
    </row>
    <row r="3132" spans="20:20" x14ac:dyDescent="0.2">
      <c r="T3132" t="s">
        <v>3270</v>
      </c>
    </row>
    <row r="3133" spans="20:20" x14ac:dyDescent="0.2">
      <c r="T3133" t="s">
        <v>3271</v>
      </c>
    </row>
    <row r="3134" spans="20:20" x14ac:dyDescent="0.2">
      <c r="T3134" t="s">
        <v>3272</v>
      </c>
    </row>
    <row r="3135" spans="20:20" x14ac:dyDescent="0.2">
      <c r="T3135" t="s">
        <v>3273</v>
      </c>
    </row>
    <row r="3136" spans="20:20" x14ac:dyDescent="0.2">
      <c r="T3136" t="s">
        <v>3274</v>
      </c>
    </row>
    <row r="3137" spans="20:20" x14ac:dyDescent="0.2">
      <c r="T3137" t="s">
        <v>3275</v>
      </c>
    </row>
    <row r="3138" spans="20:20" x14ac:dyDescent="0.2">
      <c r="T3138" t="s">
        <v>2287</v>
      </c>
    </row>
    <row r="3139" spans="20:20" x14ac:dyDescent="0.2">
      <c r="T3139" t="s">
        <v>3276</v>
      </c>
    </row>
    <row r="3140" spans="20:20" x14ac:dyDescent="0.2">
      <c r="T3140" t="s">
        <v>3277</v>
      </c>
    </row>
    <row r="3141" spans="20:20" x14ac:dyDescent="0.2">
      <c r="T3141" t="s">
        <v>3278</v>
      </c>
    </row>
    <row r="3142" spans="20:20" x14ac:dyDescent="0.2">
      <c r="T3142" t="s">
        <v>3279</v>
      </c>
    </row>
    <row r="3143" spans="20:20" x14ac:dyDescent="0.2">
      <c r="T3143" t="s">
        <v>3280</v>
      </c>
    </row>
    <row r="3144" spans="20:20" x14ac:dyDescent="0.2">
      <c r="T3144" t="s">
        <v>3281</v>
      </c>
    </row>
    <row r="3145" spans="20:20" x14ac:dyDescent="0.2">
      <c r="T3145" t="s">
        <v>3282</v>
      </c>
    </row>
    <row r="3146" spans="20:20" x14ac:dyDescent="0.2">
      <c r="T3146" t="s">
        <v>3283</v>
      </c>
    </row>
    <row r="3147" spans="20:20" x14ac:dyDescent="0.2">
      <c r="T3147" t="s">
        <v>3284</v>
      </c>
    </row>
    <row r="3148" spans="20:20" x14ac:dyDescent="0.2">
      <c r="T3148" t="s">
        <v>3285</v>
      </c>
    </row>
    <row r="3149" spans="20:20" x14ac:dyDescent="0.2">
      <c r="T3149" t="s">
        <v>3286</v>
      </c>
    </row>
    <row r="3150" spans="20:20" x14ac:dyDescent="0.2">
      <c r="T3150" t="s">
        <v>3287</v>
      </c>
    </row>
    <row r="3151" spans="20:20" x14ac:dyDescent="0.2">
      <c r="T3151" t="s">
        <v>3288</v>
      </c>
    </row>
    <row r="3152" spans="20:20" x14ac:dyDescent="0.2">
      <c r="T3152" t="s">
        <v>3289</v>
      </c>
    </row>
    <row r="3153" spans="20:20" x14ac:dyDescent="0.2">
      <c r="T3153" t="s">
        <v>3290</v>
      </c>
    </row>
    <row r="3154" spans="20:20" x14ac:dyDescent="0.2">
      <c r="T3154" t="s">
        <v>3291</v>
      </c>
    </row>
    <row r="3155" spans="20:20" x14ac:dyDescent="0.2">
      <c r="T3155" t="s">
        <v>3292</v>
      </c>
    </row>
    <row r="3156" spans="20:20" x14ac:dyDescent="0.2">
      <c r="T3156" t="s">
        <v>3293</v>
      </c>
    </row>
    <row r="3157" spans="20:20" x14ac:dyDescent="0.2">
      <c r="T3157" t="s">
        <v>3294</v>
      </c>
    </row>
    <row r="3158" spans="20:20" x14ac:dyDescent="0.2">
      <c r="T3158" t="s">
        <v>3295</v>
      </c>
    </row>
    <row r="3159" spans="20:20" x14ac:dyDescent="0.2">
      <c r="T3159" t="s">
        <v>3296</v>
      </c>
    </row>
    <row r="3160" spans="20:20" x14ac:dyDescent="0.2">
      <c r="T3160" t="s">
        <v>3297</v>
      </c>
    </row>
    <row r="3161" spans="20:20" x14ac:dyDescent="0.2">
      <c r="T3161" t="s">
        <v>3298</v>
      </c>
    </row>
    <row r="3162" spans="20:20" x14ac:dyDescent="0.2">
      <c r="T3162" t="s">
        <v>3299</v>
      </c>
    </row>
    <row r="3163" spans="20:20" x14ac:dyDescent="0.2">
      <c r="T3163" t="s">
        <v>3300</v>
      </c>
    </row>
    <row r="3164" spans="20:20" x14ac:dyDescent="0.2">
      <c r="T3164" t="s">
        <v>3301</v>
      </c>
    </row>
    <row r="3165" spans="20:20" x14ac:dyDescent="0.2">
      <c r="T3165" t="s">
        <v>3302</v>
      </c>
    </row>
    <row r="3166" spans="20:20" x14ac:dyDescent="0.2">
      <c r="T3166" t="s">
        <v>3303</v>
      </c>
    </row>
    <row r="3167" spans="20:20" x14ac:dyDescent="0.2">
      <c r="T3167" t="s">
        <v>3304</v>
      </c>
    </row>
    <row r="3168" spans="20:20" x14ac:dyDescent="0.2">
      <c r="T3168" t="s">
        <v>3305</v>
      </c>
    </row>
    <row r="3169" spans="20:20" x14ac:dyDescent="0.2">
      <c r="T3169" t="s">
        <v>3306</v>
      </c>
    </row>
    <row r="3170" spans="20:20" x14ac:dyDescent="0.2">
      <c r="T3170" t="s">
        <v>3307</v>
      </c>
    </row>
    <row r="3171" spans="20:20" x14ac:dyDescent="0.2">
      <c r="T3171" t="s">
        <v>3308</v>
      </c>
    </row>
    <row r="3172" spans="20:20" x14ac:dyDescent="0.2">
      <c r="T3172" t="s">
        <v>3309</v>
      </c>
    </row>
    <row r="3173" spans="20:20" x14ac:dyDescent="0.2">
      <c r="T3173" t="s">
        <v>3310</v>
      </c>
    </row>
    <row r="3174" spans="20:20" x14ac:dyDescent="0.2">
      <c r="T3174" t="s">
        <v>3311</v>
      </c>
    </row>
    <row r="3175" spans="20:20" x14ac:dyDescent="0.2">
      <c r="T3175" t="s">
        <v>3312</v>
      </c>
    </row>
    <row r="3176" spans="20:20" x14ac:dyDescent="0.2">
      <c r="T3176" t="s">
        <v>3313</v>
      </c>
    </row>
    <row r="3177" spans="20:20" x14ac:dyDescent="0.2">
      <c r="T3177" t="s">
        <v>3314</v>
      </c>
    </row>
    <row r="3178" spans="20:20" x14ac:dyDescent="0.2">
      <c r="T3178" t="s">
        <v>3315</v>
      </c>
    </row>
    <row r="3179" spans="20:20" x14ac:dyDescent="0.2">
      <c r="T3179" t="s">
        <v>3316</v>
      </c>
    </row>
    <row r="3180" spans="20:20" x14ac:dyDescent="0.2">
      <c r="T3180" t="s">
        <v>3317</v>
      </c>
    </row>
    <row r="3181" spans="20:20" x14ac:dyDescent="0.2">
      <c r="T3181" t="s">
        <v>496</v>
      </c>
    </row>
    <row r="3182" spans="20:20" x14ac:dyDescent="0.2">
      <c r="T3182" t="s">
        <v>3318</v>
      </c>
    </row>
    <row r="3183" spans="20:20" x14ac:dyDescent="0.2">
      <c r="T3183" t="s">
        <v>3319</v>
      </c>
    </row>
    <row r="3184" spans="20:20" x14ac:dyDescent="0.2">
      <c r="T3184" t="s">
        <v>3320</v>
      </c>
    </row>
    <row r="3185" spans="20:20" x14ac:dyDescent="0.2">
      <c r="T3185" t="s">
        <v>3321</v>
      </c>
    </row>
    <row r="3186" spans="20:20" x14ac:dyDescent="0.2">
      <c r="T3186" t="s">
        <v>3322</v>
      </c>
    </row>
    <row r="3187" spans="20:20" x14ac:dyDescent="0.2">
      <c r="T3187" t="s">
        <v>3323</v>
      </c>
    </row>
    <row r="3188" spans="20:20" x14ac:dyDescent="0.2">
      <c r="T3188" t="s">
        <v>3324</v>
      </c>
    </row>
    <row r="3189" spans="20:20" x14ac:dyDescent="0.2">
      <c r="T3189" t="s">
        <v>3325</v>
      </c>
    </row>
    <row r="3190" spans="20:20" x14ac:dyDescent="0.2">
      <c r="T3190" t="s">
        <v>3326</v>
      </c>
    </row>
    <row r="3191" spans="20:20" x14ac:dyDescent="0.2">
      <c r="T3191" t="s">
        <v>3327</v>
      </c>
    </row>
    <row r="3192" spans="20:20" x14ac:dyDescent="0.2">
      <c r="T3192" t="s">
        <v>3328</v>
      </c>
    </row>
    <row r="3193" spans="20:20" x14ac:dyDescent="0.2">
      <c r="T3193" t="s">
        <v>3329</v>
      </c>
    </row>
    <row r="3194" spans="20:20" x14ac:dyDescent="0.2">
      <c r="T3194" t="s">
        <v>3330</v>
      </c>
    </row>
    <row r="3195" spans="20:20" x14ac:dyDescent="0.2">
      <c r="T3195" t="s">
        <v>3331</v>
      </c>
    </row>
    <row r="3196" spans="20:20" x14ac:dyDescent="0.2">
      <c r="T3196" t="s">
        <v>3332</v>
      </c>
    </row>
    <row r="3197" spans="20:20" x14ac:dyDescent="0.2">
      <c r="T3197" t="s">
        <v>3333</v>
      </c>
    </row>
    <row r="3198" spans="20:20" x14ac:dyDescent="0.2">
      <c r="T3198" t="s">
        <v>496</v>
      </c>
    </row>
    <row r="3199" spans="20:20" x14ac:dyDescent="0.2">
      <c r="T3199" t="s">
        <v>3334</v>
      </c>
    </row>
    <row r="3200" spans="20:20" x14ac:dyDescent="0.2">
      <c r="T3200" t="s">
        <v>3335</v>
      </c>
    </row>
    <row r="3201" spans="20:20" x14ac:dyDescent="0.2">
      <c r="T3201" t="s">
        <v>3336</v>
      </c>
    </row>
    <row r="3202" spans="20:20" x14ac:dyDescent="0.2">
      <c r="T3202" t="s">
        <v>3337</v>
      </c>
    </row>
    <row r="3203" spans="20:20" x14ac:dyDescent="0.2">
      <c r="T3203" t="s">
        <v>3338</v>
      </c>
    </row>
    <row r="3204" spans="20:20" x14ac:dyDescent="0.2">
      <c r="T3204" t="s">
        <v>3339</v>
      </c>
    </row>
    <row r="3205" spans="20:20" x14ac:dyDescent="0.2">
      <c r="T3205" t="s">
        <v>3340</v>
      </c>
    </row>
    <row r="3206" spans="20:20" x14ac:dyDescent="0.2">
      <c r="T3206" t="s">
        <v>3341</v>
      </c>
    </row>
    <row r="3207" spans="20:20" x14ac:dyDescent="0.2">
      <c r="T3207" t="s">
        <v>3342</v>
      </c>
    </row>
    <row r="3208" spans="20:20" x14ac:dyDescent="0.2">
      <c r="T3208" t="s">
        <v>3343</v>
      </c>
    </row>
    <row r="3209" spans="20:20" x14ac:dyDescent="0.2">
      <c r="T3209" t="s">
        <v>3344</v>
      </c>
    </row>
    <row r="3210" spans="20:20" x14ac:dyDescent="0.2">
      <c r="T3210" t="s">
        <v>3345</v>
      </c>
    </row>
    <row r="3211" spans="20:20" x14ac:dyDescent="0.2">
      <c r="T3211" t="s">
        <v>3346</v>
      </c>
    </row>
    <row r="3212" spans="20:20" x14ac:dyDescent="0.2">
      <c r="T3212" t="s">
        <v>3347</v>
      </c>
    </row>
    <row r="3213" spans="20:20" x14ac:dyDescent="0.2">
      <c r="T3213" t="s">
        <v>3348</v>
      </c>
    </row>
    <row r="3214" spans="20:20" x14ac:dyDescent="0.2">
      <c r="T3214" t="s">
        <v>3349</v>
      </c>
    </row>
    <row r="3215" spans="20:20" x14ac:dyDescent="0.2">
      <c r="T3215" t="s">
        <v>3350</v>
      </c>
    </row>
    <row r="3216" spans="20:20" x14ac:dyDescent="0.2">
      <c r="T3216" t="s">
        <v>3351</v>
      </c>
    </row>
    <row r="3217" spans="20:20" x14ac:dyDescent="0.2">
      <c r="T3217" t="s">
        <v>3352</v>
      </c>
    </row>
    <row r="3218" spans="20:20" x14ac:dyDescent="0.2">
      <c r="T3218" t="s">
        <v>3353</v>
      </c>
    </row>
    <row r="3219" spans="20:20" x14ac:dyDescent="0.2">
      <c r="T3219" t="s">
        <v>3354</v>
      </c>
    </row>
    <row r="3220" spans="20:20" x14ac:dyDescent="0.2">
      <c r="T3220" t="s">
        <v>3355</v>
      </c>
    </row>
    <row r="3221" spans="20:20" x14ac:dyDescent="0.2">
      <c r="T3221" t="s">
        <v>3356</v>
      </c>
    </row>
    <row r="3222" spans="20:20" x14ac:dyDescent="0.2">
      <c r="T3222" t="s">
        <v>3357</v>
      </c>
    </row>
    <row r="3223" spans="20:20" x14ac:dyDescent="0.2">
      <c r="T3223" t="s">
        <v>3358</v>
      </c>
    </row>
    <row r="3224" spans="20:20" x14ac:dyDescent="0.2">
      <c r="T3224" t="s">
        <v>3359</v>
      </c>
    </row>
    <row r="3225" spans="20:20" x14ac:dyDescent="0.2">
      <c r="T3225" t="s">
        <v>3360</v>
      </c>
    </row>
    <row r="3226" spans="20:20" x14ac:dyDescent="0.2">
      <c r="T3226" t="s">
        <v>3361</v>
      </c>
    </row>
    <row r="3227" spans="20:20" x14ac:dyDescent="0.2">
      <c r="T3227" t="s">
        <v>3362</v>
      </c>
    </row>
    <row r="3228" spans="20:20" x14ac:dyDescent="0.2">
      <c r="T3228" t="s">
        <v>3363</v>
      </c>
    </row>
    <row r="3229" spans="20:20" x14ac:dyDescent="0.2">
      <c r="T3229" t="s">
        <v>3364</v>
      </c>
    </row>
    <row r="3230" spans="20:20" x14ac:dyDescent="0.2">
      <c r="T3230" t="s">
        <v>3365</v>
      </c>
    </row>
    <row r="3231" spans="20:20" x14ac:dyDescent="0.2">
      <c r="T3231" t="s">
        <v>3366</v>
      </c>
    </row>
    <row r="3232" spans="20:20" x14ac:dyDescent="0.2">
      <c r="T3232" t="s">
        <v>3367</v>
      </c>
    </row>
    <row r="3233" spans="20:20" x14ac:dyDescent="0.2">
      <c r="T3233" t="s">
        <v>1660</v>
      </c>
    </row>
    <row r="3234" spans="20:20" x14ac:dyDescent="0.2">
      <c r="T3234" t="s">
        <v>3368</v>
      </c>
    </row>
    <row r="3235" spans="20:20" x14ac:dyDescent="0.2">
      <c r="T3235" t="s">
        <v>3146</v>
      </c>
    </row>
    <row r="3236" spans="20:20" x14ac:dyDescent="0.2">
      <c r="T3236" t="s">
        <v>3369</v>
      </c>
    </row>
    <row r="3237" spans="20:20" x14ac:dyDescent="0.2">
      <c r="T3237" t="s">
        <v>3370</v>
      </c>
    </row>
    <row r="3238" spans="20:20" x14ac:dyDescent="0.2">
      <c r="T3238" t="s">
        <v>3371</v>
      </c>
    </row>
    <row r="3239" spans="20:20" x14ac:dyDescent="0.2">
      <c r="T3239" t="s">
        <v>3372</v>
      </c>
    </row>
    <row r="3240" spans="20:20" x14ac:dyDescent="0.2">
      <c r="T3240" t="s">
        <v>3373</v>
      </c>
    </row>
    <row r="3241" spans="20:20" x14ac:dyDescent="0.2">
      <c r="T3241" t="s">
        <v>3374</v>
      </c>
    </row>
    <row r="3242" spans="20:20" x14ac:dyDescent="0.2">
      <c r="T3242" t="s">
        <v>3375</v>
      </c>
    </row>
    <row r="3243" spans="20:20" x14ac:dyDescent="0.2">
      <c r="T3243" t="s">
        <v>3376</v>
      </c>
    </row>
    <row r="3244" spans="20:20" x14ac:dyDescent="0.2">
      <c r="T3244" t="s">
        <v>3377</v>
      </c>
    </row>
    <row r="3245" spans="20:20" x14ac:dyDescent="0.2">
      <c r="T3245" t="s">
        <v>3378</v>
      </c>
    </row>
    <row r="3246" spans="20:20" x14ac:dyDescent="0.2">
      <c r="T3246" t="s">
        <v>3379</v>
      </c>
    </row>
    <row r="3247" spans="20:20" x14ac:dyDescent="0.2">
      <c r="T3247" t="s">
        <v>3380</v>
      </c>
    </row>
    <row r="3248" spans="20:20" x14ac:dyDescent="0.2">
      <c r="T3248" t="s">
        <v>3381</v>
      </c>
    </row>
    <row r="3249" spans="20:20" x14ac:dyDescent="0.2">
      <c r="T3249" t="s">
        <v>3382</v>
      </c>
    </row>
    <row r="3250" spans="20:20" x14ac:dyDescent="0.2">
      <c r="T3250" t="s">
        <v>3383</v>
      </c>
    </row>
    <row r="3251" spans="20:20" x14ac:dyDescent="0.2">
      <c r="T3251" t="s">
        <v>3369</v>
      </c>
    </row>
    <row r="3252" spans="20:20" x14ac:dyDescent="0.2">
      <c r="T3252" t="s">
        <v>3384</v>
      </c>
    </row>
    <row r="3253" spans="20:20" x14ac:dyDescent="0.2">
      <c r="T3253" t="s">
        <v>3385</v>
      </c>
    </row>
    <row r="3254" spans="20:20" x14ac:dyDescent="0.2">
      <c r="T3254" t="s">
        <v>3386</v>
      </c>
    </row>
    <row r="3255" spans="20:20" x14ac:dyDescent="0.2">
      <c r="T3255" t="s">
        <v>3387</v>
      </c>
    </row>
    <row r="3256" spans="20:20" x14ac:dyDescent="0.2">
      <c r="T3256" t="s">
        <v>3388</v>
      </c>
    </row>
    <row r="3257" spans="20:20" x14ac:dyDescent="0.2">
      <c r="T3257" t="s">
        <v>3389</v>
      </c>
    </row>
    <row r="3258" spans="20:20" x14ac:dyDescent="0.2">
      <c r="T3258" t="s">
        <v>3390</v>
      </c>
    </row>
    <row r="3259" spans="20:20" x14ac:dyDescent="0.2">
      <c r="T3259" t="s">
        <v>3391</v>
      </c>
    </row>
    <row r="3260" spans="20:20" x14ac:dyDescent="0.2">
      <c r="T3260" t="s">
        <v>3392</v>
      </c>
    </row>
    <row r="3261" spans="20:20" x14ac:dyDescent="0.2">
      <c r="T3261" t="s">
        <v>3393</v>
      </c>
    </row>
    <row r="3262" spans="20:20" x14ac:dyDescent="0.2">
      <c r="T3262" t="s">
        <v>3394</v>
      </c>
    </row>
    <row r="3263" spans="20:20" x14ac:dyDescent="0.2">
      <c r="T3263" t="s">
        <v>3395</v>
      </c>
    </row>
    <row r="3264" spans="20:20" x14ac:dyDescent="0.2">
      <c r="T3264" t="s">
        <v>3396</v>
      </c>
    </row>
    <row r="3265" spans="20:20" x14ac:dyDescent="0.2">
      <c r="T3265" t="s">
        <v>3397</v>
      </c>
    </row>
    <row r="3266" spans="20:20" x14ac:dyDescent="0.2">
      <c r="T3266" t="s">
        <v>3398</v>
      </c>
    </row>
    <row r="3267" spans="20:20" x14ac:dyDescent="0.2">
      <c r="T3267" t="s">
        <v>432</v>
      </c>
    </row>
    <row r="3268" spans="20:20" x14ac:dyDescent="0.2">
      <c r="T3268" t="s">
        <v>3399</v>
      </c>
    </row>
    <row r="3269" spans="20:20" x14ac:dyDescent="0.2">
      <c r="T3269" t="s">
        <v>3400</v>
      </c>
    </row>
    <row r="3270" spans="20:20" x14ac:dyDescent="0.2">
      <c r="T3270" t="s">
        <v>3401</v>
      </c>
    </row>
    <row r="3271" spans="20:20" x14ac:dyDescent="0.2">
      <c r="T3271" t="s">
        <v>3402</v>
      </c>
    </row>
    <row r="3272" spans="20:20" x14ac:dyDescent="0.2">
      <c r="T3272" t="s">
        <v>3403</v>
      </c>
    </row>
    <row r="3273" spans="20:20" x14ac:dyDescent="0.2">
      <c r="T3273" t="s">
        <v>3404</v>
      </c>
    </row>
    <row r="3274" spans="20:20" x14ac:dyDescent="0.2">
      <c r="T3274" t="s">
        <v>3405</v>
      </c>
    </row>
    <row r="3275" spans="20:20" x14ac:dyDescent="0.2">
      <c r="T3275" t="s">
        <v>638</v>
      </c>
    </row>
    <row r="3276" spans="20:20" x14ac:dyDescent="0.2">
      <c r="T3276" t="s">
        <v>3406</v>
      </c>
    </row>
    <row r="3277" spans="20:20" x14ac:dyDescent="0.2">
      <c r="T3277" t="s">
        <v>3407</v>
      </c>
    </row>
    <row r="3278" spans="20:20" x14ac:dyDescent="0.2">
      <c r="T3278" t="s">
        <v>3408</v>
      </c>
    </row>
    <row r="3279" spans="20:20" x14ac:dyDescent="0.2">
      <c r="T3279" t="s">
        <v>3409</v>
      </c>
    </row>
    <row r="3280" spans="20:20" x14ac:dyDescent="0.2">
      <c r="T3280" t="s">
        <v>2520</v>
      </c>
    </row>
    <row r="3281" spans="20:20" x14ac:dyDescent="0.2">
      <c r="T3281" t="s">
        <v>3410</v>
      </c>
    </row>
    <row r="3282" spans="20:20" x14ac:dyDescent="0.2">
      <c r="T3282" t="s">
        <v>3411</v>
      </c>
    </row>
    <row r="3283" spans="20:20" x14ac:dyDescent="0.2">
      <c r="T3283" t="s">
        <v>3412</v>
      </c>
    </row>
    <row r="3284" spans="20:20" x14ac:dyDescent="0.2">
      <c r="T3284" t="s">
        <v>3413</v>
      </c>
    </row>
    <row r="3285" spans="20:20" x14ac:dyDescent="0.2">
      <c r="T3285" t="s">
        <v>3414</v>
      </c>
    </row>
    <row r="3286" spans="20:20" x14ac:dyDescent="0.2">
      <c r="T3286" t="s">
        <v>3415</v>
      </c>
    </row>
    <row r="3287" spans="20:20" x14ac:dyDescent="0.2">
      <c r="T3287" t="s">
        <v>3416</v>
      </c>
    </row>
    <row r="3288" spans="20:20" x14ac:dyDescent="0.2">
      <c r="T3288" t="s">
        <v>3417</v>
      </c>
    </row>
    <row r="3289" spans="20:20" x14ac:dyDescent="0.2">
      <c r="T3289" t="s">
        <v>3418</v>
      </c>
    </row>
    <row r="3290" spans="20:20" x14ac:dyDescent="0.2">
      <c r="T3290" t="s">
        <v>3419</v>
      </c>
    </row>
    <row r="3291" spans="20:20" x14ac:dyDescent="0.2">
      <c r="T3291" t="s">
        <v>3420</v>
      </c>
    </row>
    <row r="3292" spans="20:20" x14ac:dyDescent="0.2">
      <c r="T3292" t="s">
        <v>3421</v>
      </c>
    </row>
    <row r="3293" spans="20:20" x14ac:dyDescent="0.2">
      <c r="T3293" t="s">
        <v>3422</v>
      </c>
    </row>
    <row r="3294" spans="20:20" x14ac:dyDescent="0.2">
      <c r="T3294" t="s">
        <v>3423</v>
      </c>
    </row>
    <row r="3295" spans="20:20" x14ac:dyDescent="0.2">
      <c r="T3295" t="s">
        <v>3424</v>
      </c>
    </row>
    <row r="3296" spans="20:20" x14ac:dyDescent="0.2">
      <c r="T3296" t="s">
        <v>3425</v>
      </c>
    </row>
    <row r="3297" spans="20:20" x14ac:dyDescent="0.2">
      <c r="T3297" t="s">
        <v>3426</v>
      </c>
    </row>
    <row r="3298" spans="20:20" x14ac:dyDescent="0.2">
      <c r="T3298" t="s">
        <v>3427</v>
      </c>
    </row>
    <row r="3299" spans="20:20" x14ac:dyDescent="0.2">
      <c r="T3299" t="s">
        <v>3428</v>
      </c>
    </row>
    <row r="3300" spans="20:20" x14ac:dyDescent="0.2">
      <c r="T3300" t="s">
        <v>3429</v>
      </c>
    </row>
    <row r="3301" spans="20:20" x14ac:dyDescent="0.2">
      <c r="T3301" t="s">
        <v>3430</v>
      </c>
    </row>
    <row r="3302" spans="20:20" x14ac:dyDescent="0.2">
      <c r="T3302" t="s">
        <v>3431</v>
      </c>
    </row>
    <row r="3303" spans="20:20" x14ac:dyDescent="0.2">
      <c r="T3303" t="s">
        <v>3432</v>
      </c>
    </row>
    <row r="3304" spans="20:20" x14ac:dyDescent="0.2">
      <c r="T3304" t="s">
        <v>3433</v>
      </c>
    </row>
    <row r="3305" spans="20:20" x14ac:dyDescent="0.2">
      <c r="T3305" t="s">
        <v>3434</v>
      </c>
    </row>
    <row r="3306" spans="20:20" x14ac:dyDescent="0.2">
      <c r="T3306" t="s">
        <v>3435</v>
      </c>
    </row>
    <row r="3307" spans="20:20" x14ac:dyDescent="0.2">
      <c r="T3307" t="s">
        <v>3436</v>
      </c>
    </row>
    <row r="3308" spans="20:20" x14ac:dyDescent="0.2">
      <c r="T3308" t="s">
        <v>3437</v>
      </c>
    </row>
    <row r="3309" spans="20:20" x14ac:dyDescent="0.2">
      <c r="T3309" t="s">
        <v>3438</v>
      </c>
    </row>
    <row r="3310" spans="20:20" x14ac:dyDescent="0.2">
      <c r="T3310" t="s">
        <v>3439</v>
      </c>
    </row>
    <row r="3311" spans="20:20" x14ac:dyDescent="0.2">
      <c r="T3311" t="s">
        <v>3440</v>
      </c>
    </row>
    <row r="3312" spans="20:20" x14ac:dyDescent="0.2">
      <c r="T3312" t="s">
        <v>3441</v>
      </c>
    </row>
    <row r="3313" spans="20:20" x14ac:dyDescent="0.2">
      <c r="T3313" t="s">
        <v>3442</v>
      </c>
    </row>
    <row r="3314" spans="20:20" x14ac:dyDescent="0.2">
      <c r="T3314" t="s">
        <v>3443</v>
      </c>
    </row>
    <row r="3315" spans="20:20" x14ac:dyDescent="0.2">
      <c r="T3315" t="s">
        <v>3444</v>
      </c>
    </row>
    <row r="3316" spans="20:20" x14ac:dyDescent="0.2">
      <c r="T3316" t="s">
        <v>3445</v>
      </c>
    </row>
    <row r="3317" spans="20:20" x14ac:dyDescent="0.2">
      <c r="T3317" t="s">
        <v>3446</v>
      </c>
    </row>
    <row r="3318" spans="20:20" x14ac:dyDescent="0.2">
      <c r="T3318" t="s">
        <v>3447</v>
      </c>
    </row>
    <row r="3319" spans="20:20" x14ac:dyDescent="0.2">
      <c r="T3319" t="s">
        <v>3448</v>
      </c>
    </row>
    <row r="3320" spans="20:20" x14ac:dyDescent="0.2">
      <c r="T3320" t="s">
        <v>3105</v>
      </c>
    </row>
    <row r="3321" spans="20:20" x14ac:dyDescent="0.2">
      <c r="T3321" t="s">
        <v>3449</v>
      </c>
    </row>
    <row r="3322" spans="20:20" x14ac:dyDescent="0.2">
      <c r="T3322" t="s">
        <v>3095</v>
      </c>
    </row>
    <row r="3323" spans="20:20" x14ac:dyDescent="0.2">
      <c r="T3323" t="s">
        <v>3450</v>
      </c>
    </row>
    <row r="3324" spans="20:20" x14ac:dyDescent="0.2">
      <c r="T3324" t="s">
        <v>3451</v>
      </c>
    </row>
    <row r="3325" spans="20:20" x14ac:dyDescent="0.2">
      <c r="T3325" t="s">
        <v>3452</v>
      </c>
    </row>
    <row r="3326" spans="20:20" x14ac:dyDescent="0.2">
      <c r="T3326" t="s">
        <v>3453</v>
      </c>
    </row>
    <row r="3327" spans="20:20" x14ac:dyDescent="0.2">
      <c r="T3327" t="s">
        <v>3454</v>
      </c>
    </row>
    <row r="3328" spans="20:20" x14ac:dyDescent="0.2">
      <c r="T3328" t="s">
        <v>3455</v>
      </c>
    </row>
    <row r="3329" spans="20:20" x14ac:dyDescent="0.2">
      <c r="T3329" t="s">
        <v>3456</v>
      </c>
    </row>
    <row r="3330" spans="20:20" x14ac:dyDescent="0.2">
      <c r="T3330" t="s">
        <v>3457</v>
      </c>
    </row>
    <row r="3331" spans="20:20" x14ac:dyDescent="0.2">
      <c r="T3331" t="s">
        <v>3458</v>
      </c>
    </row>
    <row r="3332" spans="20:20" x14ac:dyDescent="0.2">
      <c r="T3332" t="s">
        <v>3459</v>
      </c>
    </row>
    <row r="3333" spans="20:20" x14ac:dyDescent="0.2">
      <c r="T3333" t="s">
        <v>3460</v>
      </c>
    </row>
    <row r="3334" spans="20:20" x14ac:dyDescent="0.2">
      <c r="T3334" t="s">
        <v>3461</v>
      </c>
    </row>
    <row r="3335" spans="20:20" x14ac:dyDescent="0.2">
      <c r="T3335" t="s">
        <v>3462</v>
      </c>
    </row>
    <row r="3336" spans="20:20" x14ac:dyDescent="0.2">
      <c r="T3336" t="s">
        <v>3463</v>
      </c>
    </row>
    <row r="3337" spans="20:20" x14ac:dyDescent="0.2">
      <c r="T3337" t="s">
        <v>3464</v>
      </c>
    </row>
    <row r="3338" spans="20:20" x14ac:dyDescent="0.2">
      <c r="T3338" t="s">
        <v>3465</v>
      </c>
    </row>
    <row r="3339" spans="20:20" x14ac:dyDescent="0.2">
      <c r="T3339" t="s">
        <v>3466</v>
      </c>
    </row>
    <row r="3340" spans="20:20" x14ac:dyDescent="0.2">
      <c r="T3340" t="s">
        <v>3467</v>
      </c>
    </row>
    <row r="3341" spans="20:20" x14ac:dyDescent="0.2">
      <c r="T3341" t="s">
        <v>3468</v>
      </c>
    </row>
    <row r="3342" spans="20:20" x14ac:dyDescent="0.2">
      <c r="T3342" t="s">
        <v>3469</v>
      </c>
    </row>
    <row r="3343" spans="20:20" x14ac:dyDescent="0.2">
      <c r="T3343" t="s">
        <v>3470</v>
      </c>
    </row>
    <row r="3344" spans="20:20" x14ac:dyDescent="0.2">
      <c r="T3344" t="s">
        <v>3471</v>
      </c>
    </row>
    <row r="3345" spans="20:20" x14ac:dyDescent="0.2">
      <c r="T3345" t="s">
        <v>3472</v>
      </c>
    </row>
    <row r="3346" spans="20:20" x14ac:dyDescent="0.2">
      <c r="T3346" t="s">
        <v>3473</v>
      </c>
    </row>
    <row r="3347" spans="20:20" x14ac:dyDescent="0.2">
      <c r="T3347" t="s">
        <v>3474</v>
      </c>
    </row>
    <row r="3348" spans="20:20" x14ac:dyDescent="0.2">
      <c r="T3348" t="s">
        <v>3475</v>
      </c>
    </row>
    <row r="3349" spans="20:20" x14ac:dyDescent="0.2">
      <c r="T3349" t="s">
        <v>3476</v>
      </c>
    </row>
    <row r="3350" spans="20:20" x14ac:dyDescent="0.2">
      <c r="T3350" t="s">
        <v>3477</v>
      </c>
    </row>
    <row r="3351" spans="20:20" x14ac:dyDescent="0.2">
      <c r="T3351" t="s">
        <v>3478</v>
      </c>
    </row>
    <row r="3352" spans="20:20" x14ac:dyDescent="0.2">
      <c r="T3352" t="s">
        <v>3479</v>
      </c>
    </row>
    <row r="3353" spans="20:20" x14ac:dyDescent="0.2">
      <c r="T3353" t="s">
        <v>3480</v>
      </c>
    </row>
    <row r="3354" spans="20:20" x14ac:dyDescent="0.2">
      <c r="T3354" t="s">
        <v>3481</v>
      </c>
    </row>
    <row r="3355" spans="20:20" x14ac:dyDescent="0.2">
      <c r="T3355" t="s">
        <v>3482</v>
      </c>
    </row>
    <row r="3356" spans="20:20" x14ac:dyDescent="0.2">
      <c r="T3356" t="s">
        <v>3483</v>
      </c>
    </row>
    <row r="3357" spans="20:20" x14ac:dyDescent="0.2">
      <c r="T3357" t="s">
        <v>3484</v>
      </c>
    </row>
    <row r="3358" spans="20:20" x14ac:dyDescent="0.2">
      <c r="T3358" t="s">
        <v>3485</v>
      </c>
    </row>
    <row r="3359" spans="20:20" x14ac:dyDescent="0.2">
      <c r="T3359" t="s">
        <v>3486</v>
      </c>
    </row>
    <row r="3360" spans="20:20" x14ac:dyDescent="0.2">
      <c r="T3360" t="s">
        <v>3487</v>
      </c>
    </row>
    <row r="3361" spans="20:20" x14ac:dyDescent="0.2">
      <c r="T3361" t="s">
        <v>3488</v>
      </c>
    </row>
    <row r="3362" spans="20:20" x14ac:dyDescent="0.2">
      <c r="T3362" t="s">
        <v>3489</v>
      </c>
    </row>
    <row r="3363" spans="20:20" x14ac:dyDescent="0.2">
      <c r="T3363" t="s">
        <v>3490</v>
      </c>
    </row>
    <row r="3364" spans="20:20" x14ac:dyDescent="0.2">
      <c r="T3364" t="s">
        <v>3491</v>
      </c>
    </row>
    <row r="3365" spans="20:20" x14ac:dyDescent="0.2">
      <c r="T3365" t="s">
        <v>3492</v>
      </c>
    </row>
    <row r="3366" spans="20:20" x14ac:dyDescent="0.2">
      <c r="T3366" t="s">
        <v>3493</v>
      </c>
    </row>
    <row r="3367" spans="20:20" x14ac:dyDescent="0.2">
      <c r="T3367" t="s">
        <v>3494</v>
      </c>
    </row>
    <row r="3368" spans="20:20" x14ac:dyDescent="0.2">
      <c r="T3368" t="s">
        <v>3495</v>
      </c>
    </row>
    <row r="3369" spans="20:20" x14ac:dyDescent="0.2">
      <c r="T3369" t="s">
        <v>3496</v>
      </c>
    </row>
    <row r="3370" spans="20:20" x14ac:dyDescent="0.2">
      <c r="T3370" t="s">
        <v>3497</v>
      </c>
    </row>
    <row r="3371" spans="20:20" x14ac:dyDescent="0.2">
      <c r="T3371" t="s">
        <v>3498</v>
      </c>
    </row>
    <row r="3372" spans="20:20" x14ac:dyDescent="0.2">
      <c r="T3372" t="s">
        <v>3499</v>
      </c>
    </row>
    <row r="3373" spans="20:20" x14ac:dyDescent="0.2">
      <c r="T3373" t="s">
        <v>3500</v>
      </c>
    </row>
    <row r="3374" spans="20:20" x14ac:dyDescent="0.2">
      <c r="T3374" t="s">
        <v>3501</v>
      </c>
    </row>
    <row r="3375" spans="20:20" x14ac:dyDescent="0.2">
      <c r="T3375" t="s">
        <v>3502</v>
      </c>
    </row>
    <row r="3376" spans="20:20" x14ac:dyDescent="0.2">
      <c r="T3376" t="s">
        <v>3503</v>
      </c>
    </row>
    <row r="3377" spans="20:20" x14ac:dyDescent="0.2">
      <c r="T3377" t="s">
        <v>3504</v>
      </c>
    </row>
    <row r="3378" spans="20:20" x14ac:dyDescent="0.2">
      <c r="T3378" t="s">
        <v>3505</v>
      </c>
    </row>
    <row r="3379" spans="20:20" x14ac:dyDescent="0.2">
      <c r="T3379" t="s">
        <v>3506</v>
      </c>
    </row>
    <row r="3380" spans="20:20" x14ac:dyDescent="0.2">
      <c r="T3380" t="s">
        <v>3507</v>
      </c>
    </row>
    <row r="3381" spans="20:20" x14ac:dyDescent="0.2">
      <c r="T3381" t="s">
        <v>3508</v>
      </c>
    </row>
    <row r="3382" spans="20:20" x14ac:dyDescent="0.2">
      <c r="T3382" t="s">
        <v>3509</v>
      </c>
    </row>
    <row r="3383" spans="20:20" x14ac:dyDescent="0.2">
      <c r="T3383" t="s">
        <v>3510</v>
      </c>
    </row>
    <row r="3384" spans="20:20" x14ac:dyDescent="0.2">
      <c r="T3384" t="s">
        <v>3511</v>
      </c>
    </row>
    <row r="3385" spans="20:20" x14ac:dyDescent="0.2">
      <c r="T3385" t="s">
        <v>3512</v>
      </c>
    </row>
    <row r="3386" spans="20:20" x14ac:dyDescent="0.2">
      <c r="T3386" t="s">
        <v>3513</v>
      </c>
    </row>
    <row r="3387" spans="20:20" x14ac:dyDescent="0.2">
      <c r="T3387" t="s">
        <v>3514</v>
      </c>
    </row>
    <row r="3388" spans="20:20" x14ac:dyDescent="0.2">
      <c r="T3388" t="s">
        <v>3515</v>
      </c>
    </row>
    <row r="3389" spans="20:20" x14ac:dyDescent="0.2">
      <c r="T3389" t="s">
        <v>3516</v>
      </c>
    </row>
    <row r="3390" spans="20:20" x14ac:dyDescent="0.2">
      <c r="T3390" t="s">
        <v>473</v>
      </c>
    </row>
    <row r="3391" spans="20:20" x14ac:dyDescent="0.2">
      <c r="T3391" t="s">
        <v>2234</v>
      </c>
    </row>
    <row r="3392" spans="20:20" x14ac:dyDescent="0.2">
      <c r="T3392" t="s">
        <v>3517</v>
      </c>
    </row>
    <row r="3393" spans="20:20" x14ac:dyDescent="0.2">
      <c r="T3393" t="s">
        <v>3518</v>
      </c>
    </row>
    <row r="3394" spans="20:20" x14ac:dyDescent="0.2">
      <c r="T3394" t="s">
        <v>3519</v>
      </c>
    </row>
    <row r="3395" spans="20:20" x14ac:dyDescent="0.2">
      <c r="T3395" t="s">
        <v>3520</v>
      </c>
    </row>
    <row r="3396" spans="20:20" x14ac:dyDescent="0.2">
      <c r="T3396" t="s">
        <v>3521</v>
      </c>
    </row>
    <row r="3397" spans="20:20" x14ac:dyDescent="0.2">
      <c r="T3397" t="s">
        <v>3522</v>
      </c>
    </row>
    <row r="3398" spans="20:20" x14ac:dyDescent="0.2">
      <c r="T3398" t="s">
        <v>3523</v>
      </c>
    </row>
    <row r="3399" spans="20:20" x14ac:dyDescent="0.2">
      <c r="T3399" t="s">
        <v>3524</v>
      </c>
    </row>
    <row r="3400" spans="20:20" x14ac:dyDescent="0.2">
      <c r="T3400" t="s">
        <v>3525</v>
      </c>
    </row>
    <row r="3401" spans="20:20" x14ac:dyDescent="0.2">
      <c r="T3401" t="s">
        <v>3526</v>
      </c>
    </row>
    <row r="3402" spans="20:20" x14ac:dyDescent="0.2">
      <c r="T3402" t="s">
        <v>3527</v>
      </c>
    </row>
    <row r="3403" spans="20:20" x14ac:dyDescent="0.2">
      <c r="T3403" t="s">
        <v>432</v>
      </c>
    </row>
    <row r="3404" spans="20:20" x14ac:dyDescent="0.2">
      <c r="T3404" t="s">
        <v>3528</v>
      </c>
    </row>
    <row r="3405" spans="20:20" x14ac:dyDescent="0.2">
      <c r="T3405" t="s">
        <v>3529</v>
      </c>
    </row>
    <row r="3406" spans="20:20" x14ac:dyDescent="0.2">
      <c r="T3406" t="s">
        <v>432</v>
      </c>
    </row>
    <row r="3407" spans="20:20" x14ac:dyDescent="0.2">
      <c r="T3407" t="s">
        <v>3530</v>
      </c>
    </row>
    <row r="3408" spans="20:20" x14ac:dyDescent="0.2">
      <c r="T3408" t="s">
        <v>432</v>
      </c>
    </row>
    <row r="3409" spans="20:20" x14ac:dyDescent="0.2">
      <c r="T3409" t="s">
        <v>3531</v>
      </c>
    </row>
    <row r="3410" spans="20:20" x14ac:dyDescent="0.2">
      <c r="T3410" t="s">
        <v>3399</v>
      </c>
    </row>
    <row r="3411" spans="20:20" x14ac:dyDescent="0.2">
      <c r="T3411" t="s">
        <v>3400</v>
      </c>
    </row>
    <row r="3412" spans="20:20" x14ac:dyDescent="0.2">
      <c r="T3412" t="s">
        <v>3532</v>
      </c>
    </row>
    <row r="3413" spans="20:20" x14ac:dyDescent="0.2">
      <c r="T3413" t="s">
        <v>3533</v>
      </c>
    </row>
    <row r="3414" spans="20:20" x14ac:dyDescent="0.2">
      <c r="T3414" t="s">
        <v>3534</v>
      </c>
    </row>
    <row r="3415" spans="20:20" x14ac:dyDescent="0.2">
      <c r="T3415" t="s">
        <v>3535</v>
      </c>
    </row>
    <row r="3416" spans="20:20" x14ac:dyDescent="0.2">
      <c r="T3416" t="s">
        <v>3536</v>
      </c>
    </row>
    <row r="3417" spans="20:20" x14ac:dyDescent="0.2">
      <c r="T3417" t="s">
        <v>3537</v>
      </c>
    </row>
    <row r="3418" spans="20:20" x14ac:dyDescent="0.2">
      <c r="T3418" t="s">
        <v>3538</v>
      </c>
    </row>
    <row r="3419" spans="20:20" x14ac:dyDescent="0.2">
      <c r="T3419" t="s">
        <v>3539</v>
      </c>
    </row>
    <row r="3420" spans="20:20" x14ac:dyDescent="0.2">
      <c r="T3420" t="s">
        <v>3540</v>
      </c>
    </row>
    <row r="3421" spans="20:20" x14ac:dyDescent="0.2">
      <c r="T3421" t="s">
        <v>788</v>
      </c>
    </row>
    <row r="3422" spans="20:20" x14ac:dyDescent="0.2">
      <c r="T3422" t="s">
        <v>638</v>
      </c>
    </row>
    <row r="3423" spans="20:20" x14ac:dyDescent="0.2">
      <c r="T3423" t="s">
        <v>3541</v>
      </c>
    </row>
    <row r="3424" spans="20:20" x14ac:dyDescent="0.2">
      <c r="T3424" t="s">
        <v>3542</v>
      </c>
    </row>
    <row r="3425" spans="20:20" x14ac:dyDescent="0.2">
      <c r="T3425" t="s">
        <v>472</v>
      </c>
    </row>
    <row r="3426" spans="20:20" x14ac:dyDescent="0.2">
      <c r="T3426" t="s">
        <v>473</v>
      </c>
    </row>
    <row r="3427" spans="20:20" x14ac:dyDescent="0.2">
      <c r="T3427" t="s">
        <v>3543</v>
      </c>
    </row>
    <row r="3428" spans="20:20" x14ac:dyDescent="0.2">
      <c r="T3428" t="s">
        <v>432</v>
      </c>
    </row>
    <row r="3429" spans="20:20" x14ac:dyDescent="0.2">
      <c r="T3429" t="s">
        <v>3531</v>
      </c>
    </row>
    <row r="3430" spans="20:20" x14ac:dyDescent="0.2">
      <c r="T3430" t="s">
        <v>3544</v>
      </c>
    </row>
    <row r="3431" spans="20:20" x14ac:dyDescent="0.2">
      <c r="T3431" t="s">
        <v>3399</v>
      </c>
    </row>
    <row r="3432" spans="20:20" x14ac:dyDescent="0.2">
      <c r="T3432" t="s">
        <v>3400</v>
      </c>
    </row>
    <row r="3433" spans="20:20" x14ac:dyDescent="0.2">
      <c r="T3433" t="s">
        <v>3532</v>
      </c>
    </row>
    <row r="3434" spans="20:20" x14ac:dyDescent="0.2">
      <c r="T3434" t="s">
        <v>3545</v>
      </c>
    </row>
    <row r="3435" spans="20:20" x14ac:dyDescent="0.2">
      <c r="T3435" t="s">
        <v>3546</v>
      </c>
    </row>
    <row r="3436" spans="20:20" x14ac:dyDescent="0.2">
      <c r="T3436" t="s">
        <v>3547</v>
      </c>
    </row>
    <row r="3437" spans="20:20" x14ac:dyDescent="0.2">
      <c r="T3437" t="s">
        <v>3548</v>
      </c>
    </row>
    <row r="3438" spans="20:20" x14ac:dyDescent="0.2">
      <c r="T3438" t="s">
        <v>3549</v>
      </c>
    </row>
    <row r="3439" spans="20:20" x14ac:dyDescent="0.2">
      <c r="T3439" t="s">
        <v>3550</v>
      </c>
    </row>
    <row r="3440" spans="20:20" x14ac:dyDescent="0.2">
      <c r="T3440" t="s">
        <v>3551</v>
      </c>
    </row>
    <row r="3441" spans="20:20" x14ac:dyDescent="0.2">
      <c r="T3441" t="s">
        <v>3539</v>
      </c>
    </row>
    <row r="3442" spans="20:20" x14ac:dyDescent="0.2">
      <c r="T3442" t="s">
        <v>3552</v>
      </c>
    </row>
    <row r="3443" spans="20:20" x14ac:dyDescent="0.2">
      <c r="T3443" t="s">
        <v>432</v>
      </c>
    </row>
    <row r="3444" spans="20:20" x14ac:dyDescent="0.2">
      <c r="T3444" t="s">
        <v>3553</v>
      </c>
    </row>
    <row r="3445" spans="20:20" x14ac:dyDescent="0.2">
      <c r="T3445" t="s">
        <v>3554</v>
      </c>
    </row>
    <row r="3446" spans="20:20" x14ac:dyDescent="0.2">
      <c r="T3446" t="s">
        <v>3555</v>
      </c>
    </row>
    <row r="3447" spans="20:20" x14ac:dyDescent="0.2">
      <c r="T3447" t="s">
        <v>3556</v>
      </c>
    </row>
    <row r="3448" spans="20:20" x14ac:dyDescent="0.2">
      <c r="T3448" t="s">
        <v>3557</v>
      </c>
    </row>
    <row r="3449" spans="20:20" x14ac:dyDescent="0.2">
      <c r="T3449" t="s">
        <v>3558</v>
      </c>
    </row>
    <row r="3450" spans="20:20" x14ac:dyDescent="0.2">
      <c r="T3450" t="s">
        <v>3559</v>
      </c>
    </row>
    <row r="3451" spans="20:20" x14ac:dyDescent="0.2">
      <c r="T3451" t="s">
        <v>3560</v>
      </c>
    </row>
    <row r="3452" spans="20:20" x14ac:dyDescent="0.2">
      <c r="T3452" t="s">
        <v>3561</v>
      </c>
    </row>
    <row r="3453" spans="20:20" x14ac:dyDescent="0.2">
      <c r="T3453" t="s">
        <v>3562</v>
      </c>
    </row>
    <row r="3454" spans="20:20" x14ac:dyDescent="0.2">
      <c r="T3454" t="s">
        <v>3563</v>
      </c>
    </row>
    <row r="3455" spans="20:20" x14ac:dyDescent="0.2">
      <c r="T3455" t="s">
        <v>3564</v>
      </c>
    </row>
    <row r="3456" spans="20:20" x14ac:dyDescent="0.2">
      <c r="T3456" t="s">
        <v>3565</v>
      </c>
    </row>
    <row r="3457" spans="20:20" x14ac:dyDescent="0.2">
      <c r="T3457" t="s">
        <v>3566</v>
      </c>
    </row>
    <row r="3458" spans="20:20" x14ac:dyDescent="0.2">
      <c r="T3458" t="s">
        <v>3567</v>
      </c>
    </row>
    <row r="3459" spans="20:20" x14ac:dyDescent="0.2">
      <c r="T3459" t="s">
        <v>3568</v>
      </c>
    </row>
    <row r="3460" spans="20:20" x14ac:dyDescent="0.2">
      <c r="T3460" t="s">
        <v>3569</v>
      </c>
    </row>
    <row r="3461" spans="20:20" x14ac:dyDescent="0.2">
      <c r="T3461" t="s">
        <v>3570</v>
      </c>
    </row>
    <row r="3462" spans="20:20" x14ac:dyDescent="0.2">
      <c r="T3462" t="s">
        <v>3571</v>
      </c>
    </row>
    <row r="3463" spans="20:20" x14ac:dyDescent="0.2">
      <c r="T3463" t="s">
        <v>3572</v>
      </c>
    </row>
    <row r="3464" spans="20:20" x14ac:dyDescent="0.2">
      <c r="T3464" t="s">
        <v>3573</v>
      </c>
    </row>
    <row r="3465" spans="20:20" x14ac:dyDescent="0.2">
      <c r="T3465" t="s">
        <v>3574</v>
      </c>
    </row>
    <row r="3466" spans="20:20" x14ac:dyDescent="0.2">
      <c r="T3466" t="s">
        <v>3575</v>
      </c>
    </row>
    <row r="3467" spans="20:20" x14ac:dyDescent="0.2">
      <c r="T3467" t="s">
        <v>3576</v>
      </c>
    </row>
    <row r="3468" spans="20:20" x14ac:dyDescent="0.2">
      <c r="T3468" t="s">
        <v>3577</v>
      </c>
    </row>
    <row r="3469" spans="20:20" x14ac:dyDescent="0.2">
      <c r="T3469" t="s">
        <v>3578</v>
      </c>
    </row>
    <row r="3470" spans="20:20" x14ac:dyDescent="0.2">
      <c r="T3470" t="s">
        <v>3579</v>
      </c>
    </row>
    <row r="3471" spans="20:20" x14ac:dyDescent="0.2">
      <c r="T3471" t="s">
        <v>3580</v>
      </c>
    </row>
    <row r="3472" spans="20:20" x14ac:dyDescent="0.2">
      <c r="T3472" t="s">
        <v>3581</v>
      </c>
    </row>
    <row r="3473" spans="20:20" x14ac:dyDescent="0.2">
      <c r="T3473" t="s">
        <v>3582</v>
      </c>
    </row>
    <row r="3474" spans="20:20" x14ac:dyDescent="0.2">
      <c r="T3474" t="s">
        <v>1782</v>
      </c>
    </row>
    <row r="3475" spans="20:20" x14ac:dyDescent="0.2">
      <c r="T3475" t="s">
        <v>3583</v>
      </c>
    </row>
    <row r="3476" spans="20:20" x14ac:dyDescent="0.2">
      <c r="T3476" t="s">
        <v>3584</v>
      </c>
    </row>
    <row r="3477" spans="20:20" x14ac:dyDescent="0.2">
      <c r="T3477" t="s">
        <v>3585</v>
      </c>
    </row>
    <row r="3478" spans="20:20" x14ac:dyDescent="0.2">
      <c r="T3478" t="s">
        <v>3586</v>
      </c>
    </row>
    <row r="3479" spans="20:20" x14ac:dyDescent="0.2">
      <c r="T3479" t="s">
        <v>3587</v>
      </c>
    </row>
    <row r="3480" spans="20:20" x14ac:dyDescent="0.2">
      <c r="T3480" t="s">
        <v>3588</v>
      </c>
    </row>
    <row r="3481" spans="20:20" x14ac:dyDescent="0.2">
      <c r="T3481" t="s">
        <v>2287</v>
      </c>
    </row>
    <row r="3482" spans="20:20" x14ac:dyDescent="0.2">
      <c r="T3482" t="s">
        <v>3589</v>
      </c>
    </row>
    <row r="3483" spans="20:20" x14ac:dyDescent="0.2">
      <c r="T3483" t="s">
        <v>3590</v>
      </c>
    </row>
    <row r="3484" spans="20:20" x14ac:dyDescent="0.2">
      <c r="T3484" t="s">
        <v>3591</v>
      </c>
    </row>
    <row r="3485" spans="20:20" x14ac:dyDescent="0.2">
      <c r="T3485" t="s">
        <v>3592</v>
      </c>
    </row>
    <row r="3486" spans="20:20" x14ac:dyDescent="0.2">
      <c r="T3486" t="s">
        <v>3593</v>
      </c>
    </row>
    <row r="3487" spans="20:20" x14ac:dyDescent="0.2">
      <c r="T3487" t="s">
        <v>3594</v>
      </c>
    </row>
    <row r="3488" spans="20:20" x14ac:dyDescent="0.2">
      <c r="T3488" t="s">
        <v>3595</v>
      </c>
    </row>
    <row r="3489" spans="20:20" x14ac:dyDescent="0.2">
      <c r="T3489" t="s">
        <v>3596</v>
      </c>
    </row>
    <row r="3490" spans="20:20" x14ac:dyDescent="0.2">
      <c r="T3490" t="s">
        <v>3597</v>
      </c>
    </row>
    <row r="3491" spans="20:20" x14ac:dyDescent="0.2">
      <c r="T3491" t="s">
        <v>3598</v>
      </c>
    </row>
    <row r="3492" spans="20:20" x14ac:dyDescent="0.2">
      <c r="T3492" t="s">
        <v>3599</v>
      </c>
    </row>
    <row r="3493" spans="20:20" x14ac:dyDescent="0.2">
      <c r="T3493" t="s">
        <v>3600</v>
      </c>
    </row>
    <row r="3494" spans="20:20" x14ac:dyDescent="0.2">
      <c r="T3494" t="s">
        <v>496</v>
      </c>
    </row>
    <row r="3495" spans="20:20" x14ac:dyDescent="0.2">
      <c r="T3495" t="s">
        <v>1010</v>
      </c>
    </row>
    <row r="3496" spans="20:20" x14ac:dyDescent="0.2">
      <c r="T3496" t="s">
        <v>1011</v>
      </c>
    </row>
    <row r="3497" spans="20:20" x14ac:dyDescent="0.2">
      <c r="T3497" t="s">
        <v>3601</v>
      </c>
    </row>
    <row r="3498" spans="20:20" x14ac:dyDescent="0.2">
      <c r="T3498" t="s">
        <v>3602</v>
      </c>
    </row>
    <row r="3499" spans="20:20" x14ac:dyDescent="0.2">
      <c r="T3499" t="s">
        <v>3603</v>
      </c>
    </row>
    <row r="3500" spans="20:20" x14ac:dyDescent="0.2">
      <c r="T3500" t="s">
        <v>3604</v>
      </c>
    </row>
    <row r="3501" spans="20:20" x14ac:dyDescent="0.2">
      <c r="T3501" t="s">
        <v>638</v>
      </c>
    </row>
    <row r="3502" spans="20:20" x14ac:dyDescent="0.2">
      <c r="T3502" t="s">
        <v>3605</v>
      </c>
    </row>
    <row r="3503" spans="20:20" x14ac:dyDescent="0.2">
      <c r="T3503" t="s">
        <v>3606</v>
      </c>
    </row>
    <row r="3504" spans="20:20" x14ac:dyDescent="0.2">
      <c r="T3504" t="s">
        <v>3607</v>
      </c>
    </row>
    <row r="3505" spans="20:20" x14ac:dyDescent="0.2">
      <c r="T3505" t="s">
        <v>3608</v>
      </c>
    </row>
    <row r="3506" spans="20:20" x14ac:dyDescent="0.2">
      <c r="T3506" t="s">
        <v>3609</v>
      </c>
    </row>
    <row r="3507" spans="20:20" x14ac:dyDescent="0.2">
      <c r="T3507" t="s">
        <v>788</v>
      </c>
    </row>
    <row r="3508" spans="20:20" x14ac:dyDescent="0.2">
      <c r="T3508" t="s">
        <v>638</v>
      </c>
    </row>
    <row r="3509" spans="20:20" x14ac:dyDescent="0.2">
      <c r="T3509" t="s">
        <v>3610</v>
      </c>
    </row>
    <row r="3510" spans="20:20" x14ac:dyDescent="0.2">
      <c r="T3510" t="s">
        <v>1022</v>
      </c>
    </row>
    <row r="3511" spans="20:20" x14ac:dyDescent="0.2">
      <c r="T3511" t="s">
        <v>3611</v>
      </c>
    </row>
    <row r="3512" spans="20:20" x14ac:dyDescent="0.2">
      <c r="T3512" t="s">
        <v>3612</v>
      </c>
    </row>
    <row r="3513" spans="20:20" x14ac:dyDescent="0.2">
      <c r="T3513" t="s">
        <v>3613</v>
      </c>
    </row>
    <row r="3514" spans="20:20" x14ac:dyDescent="0.2">
      <c r="T3514" t="s">
        <v>3614</v>
      </c>
    </row>
    <row r="3515" spans="20:20" x14ac:dyDescent="0.2">
      <c r="T3515" t="s">
        <v>3615</v>
      </c>
    </row>
    <row r="3516" spans="20:20" x14ac:dyDescent="0.2">
      <c r="T3516" t="s">
        <v>3616</v>
      </c>
    </row>
    <row r="3517" spans="20:20" x14ac:dyDescent="0.2">
      <c r="T3517" t="s">
        <v>3617</v>
      </c>
    </row>
    <row r="3518" spans="20:20" x14ac:dyDescent="0.2">
      <c r="T3518" t="s">
        <v>3618</v>
      </c>
    </row>
    <row r="3519" spans="20:20" x14ac:dyDescent="0.2">
      <c r="T3519" t="s">
        <v>3619</v>
      </c>
    </row>
    <row r="3520" spans="20:20" x14ac:dyDescent="0.2">
      <c r="T3520" t="s">
        <v>3620</v>
      </c>
    </row>
    <row r="3521" spans="20:20" x14ac:dyDescent="0.2">
      <c r="T3521" t="s">
        <v>3621</v>
      </c>
    </row>
    <row r="3522" spans="20:20" x14ac:dyDescent="0.2">
      <c r="T3522" t="s">
        <v>3622</v>
      </c>
    </row>
    <row r="3523" spans="20:20" x14ac:dyDescent="0.2">
      <c r="T3523" t="s">
        <v>3623</v>
      </c>
    </row>
    <row r="3524" spans="20:20" x14ac:dyDescent="0.2">
      <c r="T3524" t="s">
        <v>3624</v>
      </c>
    </row>
    <row r="3525" spans="20:20" x14ac:dyDescent="0.2">
      <c r="T3525" t="s">
        <v>3625</v>
      </c>
    </row>
    <row r="3526" spans="20:20" x14ac:dyDescent="0.2">
      <c r="T3526" t="s">
        <v>3626</v>
      </c>
    </row>
    <row r="3527" spans="20:20" x14ac:dyDescent="0.2">
      <c r="T3527" t="s">
        <v>3627</v>
      </c>
    </row>
    <row r="3528" spans="20:20" x14ac:dyDescent="0.2">
      <c r="T3528" t="s">
        <v>3628</v>
      </c>
    </row>
    <row r="3529" spans="20:20" x14ac:dyDescent="0.2">
      <c r="T3529" t="s">
        <v>3629</v>
      </c>
    </row>
    <row r="3530" spans="20:20" x14ac:dyDescent="0.2">
      <c r="T3530" t="s">
        <v>3630</v>
      </c>
    </row>
    <row r="3531" spans="20:20" x14ac:dyDescent="0.2">
      <c r="T3531" t="s">
        <v>3631</v>
      </c>
    </row>
    <row r="3532" spans="20:20" x14ac:dyDescent="0.2">
      <c r="T3532" t="s">
        <v>3632</v>
      </c>
    </row>
    <row r="3533" spans="20:20" x14ac:dyDescent="0.2">
      <c r="T3533" t="s">
        <v>3633</v>
      </c>
    </row>
    <row r="3534" spans="20:20" x14ac:dyDescent="0.2">
      <c r="T3534" t="s">
        <v>3634</v>
      </c>
    </row>
    <row r="3535" spans="20:20" x14ac:dyDescent="0.2">
      <c r="T3535" t="s">
        <v>3635</v>
      </c>
    </row>
    <row r="3536" spans="20:20" x14ac:dyDescent="0.2">
      <c r="T3536" t="s">
        <v>3636</v>
      </c>
    </row>
    <row r="3537" spans="20:20" x14ac:dyDescent="0.2">
      <c r="T3537" t="s">
        <v>3637</v>
      </c>
    </row>
    <row r="3538" spans="20:20" x14ac:dyDescent="0.2">
      <c r="T3538" t="s">
        <v>3638</v>
      </c>
    </row>
    <row r="3539" spans="20:20" x14ac:dyDescent="0.2">
      <c r="T3539" t="s">
        <v>3639</v>
      </c>
    </row>
    <row r="3540" spans="20:20" x14ac:dyDescent="0.2">
      <c r="T3540" t="s">
        <v>3640</v>
      </c>
    </row>
    <row r="3541" spans="20:20" x14ac:dyDescent="0.2">
      <c r="T3541" t="s">
        <v>3623</v>
      </c>
    </row>
    <row r="3542" spans="20:20" x14ac:dyDescent="0.2">
      <c r="T3542" t="s">
        <v>3641</v>
      </c>
    </row>
    <row r="3543" spans="20:20" x14ac:dyDescent="0.2">
      <c r="T3543" t="s">
        <v>3642</v>
      </c>
    </row>
    <row r="3544" spans="20:20" x14ac:dyDescent="0.2">
      <c r="T3544" t="s">
        <v>3643</v>
      </c>
    </row>
    <row r="3545" spans="20:20" x14ac:dyDescent="0.2">
      <c r="T3545" t="s">
        <v>3644</v>
      </c>
    </row>
    <row r="3546" spans="20:20" x14ac:dyDescent="0.2">
      <c r="T3546" t="s">
        <v>3645</v>
      </c>
    </row>
    <row r="3547" spans="20:20" x14ac:dyDescent="0.2">
      <c r="T3547" t="s">
        <v>3646</v>
      </c>
    </row>
    <row r="3548" spans="20:20" x14ac:dyDescent="0.2">
      <c r="T3548" t="s">
        <v>3647</v>
      </c>
    </row>
    <row r="3549" spans="20:20" x14ac:dyDescent="0.2">
      <c r="T3549" t="s">
        <v>3648</v>
      </c>
    </row>
    <row r="3550" spans="20:20" x14ac:dyDescent="0.2">
      <c r="T3550" t="s">
        <v>3649</v>
      </c>
    </row>
    <row r="3551" spans="20:20" x14ac:dyDescent="0.2">
      <c r="T3551" t="s">
        <v>3650</v>
      </c>
    </row>
    <row r="3552" spans="20:20" x14ac:dyDescent="0.2">
      <c r="T3552" t="s">
        <v>3651</v>
      </c>
    </row>
    <row r="3553" spans="20:20" x14ac:dyDescent="0.2">
      <c r="T3553" t="s">
        <v>3652</v>
      </c>
    </row>
    <row r="3554" spans="20:20" x14ac:dyDescent="0.2">
      <c r="T3554" t="s">
        <v>3653</v>
      </c>
    </row>
    <row r="3555" spans="20:20" x14ac:dyDescent="0.2">
      <c r="T3555" t="s">
        <v>3654</v>
      </c>
    </row>
    <row r="3556" spans="20:20" x14ac:dyDescent="0.2">
      <c r="T3556" t="s">
        <v>496</v>
      </c>
    </row>
    <row r="3557" spans="20:20" x14ac:dyDescent="0.2">
      <c r="T3557" t="s">
        <v>497</v>
      </c>
    </row>
    <row r="3558" spans="20:20" x14ac:dyDescent="0.2">
      <c r="T3558" t="s">
        <v>498</v>
      </c>
    </row>
    <row r="3559" spans="20:20" x14ac:dyDescent="0.2">
      <c r="T3559" t="s">
        <v>1018</v>
      </c>
    </row>
    <row r="3560" spans="20:20" x14ac:dyDescent="0.2">
      <c r="T3560" t="s">
        <v>3655</v>
      </c>
    </row>
    <row r="3561" spans="20:20" x14ac:dyDescent="0.2">
      <c r="T3561" t="s">
        <v>3656</v>
      </c>
    </row>
    <row r="3562" spans="20:20" x14ac:dyDescent="0.2">
      <c r="T3562" t="s">
        <v>3657</v>
      </c>
    </row>
    <row r="3563" spans="20:20" x14ac:dyDescent="0.2">
      <c r="T3563" t="s">
        <v>3658</v>
      </c>
    </row>
    <row r="3564" spans="20:20" x14ac:dyDescent="0.2">
      <c r="T3564" t="s">
        <v>3659</v>
      </c>
    </row>
    <row r="3565" spans="20:20" x14ac:dyDescent="0.2">
      <c r="T3565" t="s">
        <v>3660</v>
      </c>
    </row>
    <row r="3566" spans="20:20" x14ac:dyDescent="0.2">
      <c r="T3566" t="s">
        <v>3661</v>
      </c>
    </row>
    <row r="3567" spans="20:20" x14ac:dyDescent="0.2">
      <c r="T3567" t="s">
        <v>3662</v>
      </c>
    </row>
    <row r="3568" spans="20:20" x14ac:dyDescent="0.2">
      <c r="T3568" t="s">
        <v>3663</v>
      </c>
    </row>
    <row r="3569" spans="20:20" x14ac:dyDescent="0.2">
      <c r="T3569" t="s">
        <v>3664</v>
      </c>
    </row>
    <row r="3570" spans="20:20" x14ac:dyDescent="0.2">
      <c r="T3570" t="s">
        <v>3665</v>
      </c>
    </row>
    <row r="3571" spans="20:20" x14ac:dyDescent="0.2">
      <c r="T3571" t="s">
        <v>3666</v>
      </c>
    </row>
    <row r="3572" spans="20:20" x14ac:dyDescent="0.2">
      <c r="T3572" t="s">
        <v>3667</v>
      </c>
    </row>
    <row r="3573" spans="20:20" x14ac:dyDescent="0.2">
      <c r="T3573" t="s">
        <v>3668</v>
      </c>
    </row>
    <row r="3574" spans="20:20" x14ac:dyDescent="0.2">
      <c r="T3574" t="s">
        <v>3669</v>
      </c>
    </row>
    <row r="3575" spans="20:20" x14ac:dyDescent="0.2">
      <c r="T3575" t="s">
        <v>3670</v>
      </c>
    </row>
    <row r="3576" spans="20:20" x14ac:dyDescent="0.2">
      <c r="T3576" t="s">
        <v>3269</v>
      </c>
    </row>
    <row r="3577" spans="20:20" x14ac:dyDescent="0.2">
      <c r="T3577" t="s">
        <v>3671</v>
      </c>
    </row>
    <row r="3578" spans="20:20" x14ac:dyDescent="0.2">
      <c r="T3578" t="s">
        <v>3672</v>
      </c>
    </row>
    <row r="3579" spans="20:20" x14ac:dyDescent="0.2">
      <c r="T3579" t="s">
        <v>3673</v>
      </c>
    </row>
    <row r="3580" spans="20:20" x14ac:dyDescent="0.2">
      <c r="T3580" t="s">
        <v>3674</v>
      </c>
    </row>
    <row r="3581" spans="20:20" x14ac:dyDescent="0.2">
      <c r="T3581" t="s">
        <v>3675</v>
      </c>
    </row>
    <row r="3582" spans="20:20" x14ac:dyDescent="0.2">
      <c r="T3582" t="s">
        <v>3676</v>
      </c>
    </row>
    <row r="3583" spans="20:20" x14ac:dyDescent="0.2">
      <c r="T3583" t="s">
        <v>3677</v>
      </c>
    </row>
    <row r="3584" spans="20:20" x14ac:dyDescent="0.2">
      <c r="T3584" t="s">
        <v>3678</v>
      </c>
    </row>
    <row r="3585" spans="20:20" x14ac:dyDescent="0.2">
      <c r="T3585" t="s">
        <v>3679</v>
      </c>
    </row>
    <row r="3586" spans="20:20" x14ac:dyDescent="0.2">
      <c r="T3586" t="s">
        <v>3680</v>
      </c>
    </row>
    <row r="3587" spans="20:20" x14ac:dyDescent="0.2">
      <c r="T3587" t="s">
        <v>3681</v>
      </c>
    </row>
    <row r="3588" spans="20:20" x14ac:dyDescent="0.2">
      <c r="T3588" t="s">
        <v>3682</v>
      </c>
    </row>
    <row r="3589" spans="20:20" x14ac:dyDescent="0.2">
      <c r="T3589" t="s">
        <v>3683</v>
      </c>
    </row>
    <row r="3590" spans="20:20" x14ac:dyDescent="0.2">
      <c r="T3590" t="s">
        <v>3684</v>
      </c>
    </row>
    <row r="3591" spans="20:20" x14ac:dyDescent="0.2">
      <c r="T3591" t="s">
        <v>3685</v>
      </c>
    </row>
    <row r="3592" spans="20:20" x14ac:dyDescent="0.2">
      <c r="T3592" t="s">
        <v>3686</v>
      </c>
    </row>
    <row r="3593" spans="20:20" x14ac:dyDescent="0.2">
      <c r="T3593" t="s">
        <v>3687</v>
      </c>
    </row>
    <row r="3594" spans="20:20" x14ac:dyDescent="0.2">
      <c r="T3594" t="s">
        <v>3688</v>
      </c>
    </row>
    <row r="3595" spans="20:20" x14ac:dyDescent="0.2">
      <c r="T3595" t="s">
        <v>3689</v>
      </c>
    </row>
    <row r="3596" spans="20:20" x14ac:dyDescent="0.2">
      <c r="T3596" t="s">
        <v>3690</v>
      </c>
    </row>
    <row r="3597" spans="20:20" x14ac:dyDescent="0.2">
      <c r="T3597" t="s">
        <v>3691</v>
      </c>
    </row>
    <row r="3598" spans="20:20" x14ac:dyDescent="0.2">
      <c r="T3598" t="s">
        <v>3692</v>
      </c>
    </row>
    <row r="3599" spans="20:20" x14ac:dyDescent="0.2">
      <c r="T3599" t="s">
        <v>3693</v>
      </c>
    </row>
    <row r="3600" spans="20:20" x14ac:dyDescent="0.2">
      <c r="T3600" t="s">
        <v>3694</v>
      </c>
    </row>
    <row r="3601" spans="20:20" x14ac:dyDescent="0.2">
      <c r="T3601" t="s">
        <v>3695</v>
      </c>
    </row>
    <row r="3602" spans="20:20" x14ac:dyDescent="0.2">
      <c r="T3602" t="s">
        <v>3696</v>
      </c>
    </row>
    <row r="3603" spans="20:20" x14ac:dyDescent="0.2">
      <c r="T3603" t="s">
        <v>3697</v>
      </c>
    </row>
    <row r="3604" spans="20:20" x14ac:dyDescent="0.2">
      <c r="T3604" t="s">
        <v>3698</v>
      </c>
    </row>
    <row r="3605" spans="20:20" x14ac:dyDescent="0.2">
      <c r="T3605" t="s">
        <v>3699</v>
      </c>
    </row>
    <row r="3606" spans="20:20" x14ac:dyDescent="0.2">
      <c r="T3606" t="s">
        <v>3700</v>
      </c>
    </row>
    <row r="3607" spans="20:20" x14ac:dyDescent="0.2">
      <c r="T3607" t="s">
        <v>3701</v>
      </c>
    </row>
    <row r="3608" spans="20:20" x14ac:dyDescent="0.2">
      <c r="T3608" t="s">
        <v>3702</v>
      </c>
    </row>
    <row r="3609" spans="20:20" x14ac:dyDescent="0.2">
      <c r="T3609" t="s">
        <v>3703</v>
      </c>
    </row>
    <row r="3610" spans="20:20" x14ac:dyDescent="0.2">
      <c r="T3610" t="s">
        <v>3704</v>
      </c>
    </row>
    <row r="3611" spans="20:20" x14ac:dyDescent="0.2">
      <c r="T3611" t="s">
        <v>3705</v>
      </c>
    </row>
    <row r="3612" spans="20:20" x14ac:dyDescent="0.2">
      <c r="T3612" t="s">
        <v>3706</v>
      </c>
    </row>
    <row r="3613" spans="20:20" x14ac:dyDescent="0.2">
      <c r="T3613" t="s">
        <v>3707</v>
      </c>
    </row>
    <row r="3614" spans="20:20" x14ac:dyDescent="0.2">
      <c r="T3614" t="s">
        <v>3708</v>
      </c>
    </row>
    <row r="3615" spans="20:20" x14ac:dyDescent="0.2">
      <c r="T3615" t="s">
        <v>3709</v>
      </c>
    </row>
    <row r="3616" spans="20:20" x14ac:dyDescent="0.2">
      <c r="T3616" t="s">
        <v>3710</v>
      </c>
    </row>
    <row r="3617" spans="20:20" x14ac:dyDescent="0.2">
      <c r="T3617" t="s">
        <v>3711</v>
      </c>
    </row>
    <row r="3618" spans="20:20" x14ac:dyDescent="0.2">
      <c r="T3618" t="s">
        <v>3712</v>
      </c>
    </row>
    <row r="3619" spans="20:20" x14ac:dyDescent="0.2">
      <c r="T3619" t="s">
        <v>3713</v>
      </c>
    </row>
    <row r="3620" spans="20:20" x14ac:dyDescent="0.2">
      <c r="T3620" t="s">
        <v>3714</v>
      </c>
    </row>
    <row r="3621" spans="20:20" x14ac:dyDescent="0.2">
      <c r="T3621" t="s">
        <v>3715</v>
      </c>
    </row>
    <row r="3622" spans="20:20" x14ac:dyDescent="0.2">
      <c r="T3622" t="s">
        <v>3716</v>
      </c>
    </row>
    <row r="3623" spans="20:20" x14ac:dyDescent="0.2">
      <c r="T3623" t="s">
        <v>3717</v>
      </c>
    </row>
    <row r="3624" spans="20:20" x14ac:dyDescent="0.2">
      <c r="T3624" t="s">
        <v>3718</v>
      </c>
    </row>
    <row r="3625" spans="20:20" x14ac:dyDescent="0.2">
      <c r="T3625" t="s">
        <v>3719</v>
      </c>
    </row>
    <row r="3626" spans="20:20" x14ac:dyDescent="0.2">
      <c r="T3626" t="s">
        <v>3720</v>
      </c>
    </row>
    <row r="3627" spans="20:20" x14ac:dyDescent="0.2">
      <c r="T3627" t="s">
        <v>3721</v>
      </c>
    </row>
    <row r="3628" spans="20:20" x14ac:dyDescent="0.2">
      <c r="T3628" t="s">
        <v>3722</v>
      </c>
    </row>
    <row r="3629" spans="20:20" x14ac:dyDescent="0.2">
      <c r="T3629" t="s">
        <v>3723</v>
      </c>
    </row>
    <row r="3630" spans="20:20" x14ac:dyDescent="0.2">
      <c r="T3630" t="s">
        <v>3724</v>
      </c>
    </row>
    <row r="3631" spans="20:20" x14ac:dyDescent="0.2">
      <c r="T3631" t="s">
        <v>3725</v>
      </c>
    </row>
    <row r="3632" spans="20:20" x14ac:dyDescent="0.2">
      <c r="T3632" t="s">
        <v>3726</v>
      </c>
    </row>
    <row r="3633" spans="20:20" x14ac:dyDescent="0.2">
      <c r="T3633" t="s">
        <v>3727</v>
      </c>
    </row>
    <row r="3634" spans="20:20" x14ac:dyDescent="0.2">
      <c r="T3634" t="s">
        <v>3728</v>
      </c>
    </row>
    <row r="3635" spans="20:20" x14ac:dyDescent="0.2">
      <c r="T3635" t="s">
        <v>3729</v>
      </c>
    </row>
    <row r="3636" spans="20:20" x14ac:dyDescent="0.2">
      <c r="T3636" t="s">
        <v>3273</v>
      </c>
    </row>
    <row r="3637" spans="20:20" x14ac:dyDescent="0.2">
      <c r="T3637" t="s">
        <v>3730</v>
      </c>
    </row>
    <row r="3638" spans="20:20" x14ac:dyDescent="0.2">
      <c r="T3638" t="s">
        <v>3731</v>
      </c>
    </row>
    <row r="3639" spans="20:20" x14ac:dyDescent="0.2">
      <c r="T3639" t="s">
        <v>3732</v>
      </c>
    </row>
    <row r="3640" spans="20:20" x14ac:dyDescent="0.2">
      <c r="T3640" t="s">
        <v>3733</v>
      </c>
    </row>
    <row r="3641" spans="20:20" x14ac:dyDescent="0.2">
      <c r="T3641" t="s">
        <v>3734</v>
      </c>
    </row>
    <row r="3642" spans="20:20" x14ac:dyDescent="0.2">
      <c r="T3642" t="s">
        <v>3735</v>
      </c>
    </row>
    <row r="3643" spans="20:20" x14ac:dyDescent="0.2">
      <c r="T3643" t="s">
        <v>3736</v>
      </c>
    </row>
    <row r="3644" spans="20:20" x14ac:dyDescent="0.2">
      <c r="T3644" t="s">
        <v>3737</v>
      </c>
    </row>
    <row r="3645" spans="20:20" x14ac:dyDescent="0.2">
      <c r="T3645" t="s">
        <v>3738</v>
      </c>
    </row>
    <row r="3646" spans="20:20" x14ac:dyDescent="0.2">
      <c r="T3646" t="s">
        <v>3739</v>
      </c>
    </row>
    <row r="3647" spans="20:20" x14ac:dyDescent="0.2">
      <c r="T3647" t="s">
        <v>3740</v>
      </c>
    </row>
    <row r="3648" spans="20:20" x14ac:dyDescent="0.2">
      <c r="T3648" t="s">
        <v>3741</v>
      </c>
    </row>
    <row r="3649" spans="20:20" x14ac:dyDescent="0.2">
      <c r="T3649" t="s">
        <v>3742</v>
      </c>
    </row>
    <row r="3650" spans="20:20" x14ac:dyDescent="0.2">
      <c r="T3650" t="s">
        <v>3743</v>
      </c>
    </row>
    <row r="3651" spans="20:20" x14ac:dyDescent="0.2">
      <c r="T3651" t="s">
        <v>3744</v>
      </c>
    </row>
    <row r="3652" spans="20:20" x14ac:dyDescent="0.2">
      <c r="T3652" t="s">
        <v>3745</v>
      </c>
    </row>
    <row r="3653" spans="20:20" x14ac:dyDescent="0.2">
      <c r="T3653" t="s">
        <v>3746</v>
      </c>
    </row>
    <row r="3654" spans="20:20" x14ac:dyDescent="0.2">
      <c r="T3654" t="s">
        <v>3747</v>
      </c>
    </row>
    <row r="3655" spans="20:20" x14ac:dyDescent="0.2">
      <c r="T3655" t="s">
        <v>3748</v>
      </c>
    </row>
    <row r="3656" spans="20:20" x14ac:dyDescent="0.2">
      <c r="T3656" t="s">
        <v>3749</v>
      </c>
    </row>
    <row r="3657" spans="20:20" x14ac:dyDescent="0.2">
      <c r="T3657" t="s">
        <v>3750</v>
      </c>
    </row>
    <row r="3658" spans="20:20" x14ac:dyDescent="0.2">
      <c r="T3658" t="s">
        <v>3272</v>
      </c>
    </row>
    <row r="3659" spans="20:20" x14ac:dyDescent="0.2">
      <c r="T3659" t="s">
        <v>3751</v>
      </c>
    </row>
    <row r="3660" spans="20:20" x14ac:dyDescent="0.2">
      <c r="T3660" t="s">
        <v>1068</v>
      </c>
    </row>
    <row r="3661" spans="20:20" x14ac:dyDescent="0.2">
      <c r="T3661" t="s">
        <v>3752</v>
      </c>
    </row>
    <row r="3662" spans="20:20" x14ac:dyDescent="0.2">
      <c r="T3662" t="s">
        <v>3753</v>
      </c>
    </row>
    <row r="3663" spans="20:20" x14ac:dyDescent="0.2">
      <c r="T3663" t="s">
        <v>3754</v>
      </c>
    </row>
    <row r="3664" spans="20:20" x14ac:dyDescent="0.2">
      <c r="T3664" t="s">
        <v>3755</v>
      </c>
    </row>
    <row r="3665" spans="20:20" x14ac:dyDescent="0.2">
      <c r="T3665" t="s">
        <v>3756</v>
      </c>
    </row>
    <row r="3666" spans="20:20" x14ac:dyDescent="0.2">
      <c r="T3666" t="s">
        <v>3757</v>
      </c>
    </row>
    <row r="3667" spans="20:20" x14ac:dyDescent="0.2">
      <c r="T3667" t="s">
        <v>3758</v>
      </c>
    </row>
    <row r="3668" spans="20:20" x14ac:dyDescent="0.2">
      <c r="T3668" t="s">
        <v>3759</v>
      </c>
    </row>
    <row r="3669" spans="20:20" x14ac:dyDescent="0.2">
      <c r="T3669" t="s">
        <v>3760</v>
      </c>
    </row>
    <row r="3670" spans="20:20" x14ac:dyDescent="0.2">
      <c r="T3670" t="s">
        <v>1068</v>
      </c>
    </row>
    <row r="3671" spans="20:20" x14ac:dyDescent="0.2">
      <c r="T3671" t="s">
        <v>3752</v>
      </c>
    </row>
    <row r="3672" spans="20:20" x14ac:dyDescent="0.2">
      <c r="T3672" t="s">
        <v>3761</v>
      </c>
    </row>
    <row r="3673" spans="20:20" x14ac:dyDescent="0.2">
      <c r="T3673" t="s">
        <v>3762</v>
      </c>
    </row>
    <row r="3674" spans="20:20" x14ac:dyDescent="0.2">
      <c r="T3674" t="s">
        <v>3763</v>
      </c>
    </row>
    <row r="3675" spans="20:20" x14ac:dyDescent="0.2">
      <c r="T3675" t="s">
        <v>3764</v>
      </c>
    </row>
    <row r="3676" spans="20:20" x14ac:dyDescent="0.2">
      <c r="T3676" t="s">
        <v>3765</v>
      </c>
    </row>
    <row r="3677" spans="20:20" x14ac:dyDescent="0.2">
      <c r="T3677" t="s">
        <v>3766</v>
      </c>
    </row>
    <row r="3678" spans="20:20" x14ac:dyDescent="0.2">
      <c r="T3678" t="s">
        <v>3767</v>
      </c>
    </row>
    <row r="3679" spans="20:20" x14ac:dyDescent="0.2">
      <c r="T3679" t="s">
        <v>3768</v>
      </c>
    </row>
    <row r="3680" spans="20:20" x14ac:dyDescent="0.2">
      <c r="T3680" t="s">
        <v>3769</v>
      </c>
    </row>
    <row r="3681" spans="20:20" x14ac:dyDescent="0.2">
      <c r="T3681" t="s">
        <v>3770</v>
      </c>
    </row>
    <row r="3682" spans="20:20" x14ac:dyDescent="0.2">
      <c r="T3682" t="s">
        <v>3771</v>
      </c>
    </row>
    <row r="3683" spans="20:20" x14ac:dyDescent="0.2">
      <c r="T3683" t="s">
        <v>3772</v>
      </c>
    </row>
    <row r="3684" spans="20:20" x14ac:dyDescent="0.2">
      <c r="T3684" t="s">
        <v>3773</v>
      </c>
    </row>
    <row r="3685" spans="20:20" x14ac:dyDescent="0.2">
      <c r="T3685" t="s">
        <v>1068</v>
      </c>
    </row>
    <row r="3686" spans="20:20" x14ac:dyDescent="0.2">
      <c r="T3686" t="s">
        <v>3752</v>
      </c>
    </row>
    <row r="3687" spans="20:20" x14ac:dyDescent="0.2">
      <c r="T3687" t="s">
        <v>3774</v>
      </c>
    </row>
    <row r="3688" spans="20:20" x14ac:dyDescent="0.2">
      <c r="T3688" t="s">
        <v>3775</v>
      </c>
    </row>
    <row r="3689" spans="20:20" x14ac:dyDescent="0.2">
      <c r="T3689" t="s">
        <v>3776</v>
      </c>
    </row>
    <row r="3690" spans="20:20" x14ac:dyDescent="0.2">
      <c r="T3690" t="s">
        <v>3777</v>
      </c>
    </row>
    <row r="3691" spans="20:20" x14ac:dyDescent="0.2">
      <c r="T3691" t="s">
        <v>3778</v>
      </c>
    </row>
    <row r="3692" spans="20:20" x14ac:dyDescent="0.2">
      <c r="T3692" t="s">
        <v>3779</v>
      </c>
    </row>
    <row r="3693" spans="20:20" x14ac:dyDescent="0.2">
      <c r="T3693" t="s">
        <v>3780</v>
      </c>
    </row>
    <row r="3694" spans="20:20" x14ac:dyDescent="0.2">
      <c r="T3694" t="s">
        <v>3781</v>
      </c>
    </row>
    <row r="3695" spans="20:20" x14ac:dyDescent="0.2">
      <c r="T3695" t="s">
        <v>3782</v>
      </c>
    </row>
    <row r="3696" spans="20:20" x14ac:dyDescent="0.2">
      <c r="T3696" t="s">
        <v>3783</v>
      </c>
    </row>
    <row r="3697" spans="20:20" x14ac:dyDescent="0.2">
      <c r="T3697" t="s">
        <v>3784</v>
      </c>
    </row>
    <row r="3698" spans="20:20" x14ac:dyDescent="0.2">
      <c r="T3698" t="s">
        <v>3785</v>
      </c>
    </row>
    <row r="3699" spans="20:20" x14ac:dyDescent="0.2">
      <c r="T3699" t="s">
        <v>3786</v>
      </c>
    </row>
    <row r="3700" spans="20:20" x14ac:dyDescent="0.2">
      <c r="T3700" t="s">
        <v>1068</v>
      </c>
    </row>
    <row r="3701" spans="20:20" x14ac:dyDescent="0.2">
      <c r="T3701" t="s">
        <v>3752</v>
      </c>
    </row>
    <row r="3702" spans="20:20" x14ac:dyDescent="0.2">
      <c r="T3702" t="s">
        <v>3787</v>
      </c>
    </row>
    <row r="3703" spans="20:20" x14ac:dyDescent="0.2">
      <c r="T3703" t="s">
        <v>3788</v>
      </c>
    </row>
    <row r="3704" spans="20:20" x14ac:dyDescent="0.2">
      <c r="T3704" t="s">
        <v>3789</v>
      </c>
    </row>
    <row r="3705" spans="20:20" x14ac:dyDescent="0.2">
      <c r="T3705" t="s">
        <v>3790</v>
      </c>
    </row>
    <row r="3706" spans="20:20" x14ac:dyDescent="0.2">
      <c r="T3706" t="s">
        <v>3791</v>
      </c>
    </row>
    <row r="3707" spans="20:20" x14ac:dyDescent="0.2">
      <c r="T3707" t="s">
        <v>3792</v>
      </c>
    </row>
    <row r="3708" spans="20:20" x14ac:dyDescent="0.2">
      <c r="T3708" t="s">
        <v>3793</v>
      </c>
    </row>
    <row r="3709" spans="20:20" x14ac:dyDescent="0.2">
      <c r="T3709" t="s">
        <v>3794</v>
      </c>
    </row>
    <row r="3710" spans="20:20" x14ac:dyDescent="0.2">
      <c r="T3710" t="s">
        <v>3795</v>
      </c>
    </row>
    <row r="3711" spans="20:20" x14ac:dyDescent="0.2">
      <c r="T3711" t="s">
        <v>3796</v>
      </c>
    </row>
    <row r="3712" spans="20:20" x14ac:dyDescent="0.2">
      <c r="T3712" t="s">
        <v>3797</v>
      </c>
    </row>
    <row r="3713" spans="20:20" x14ac:dyDescent="0.2">
      <c r="T3713" t="s">
        <v>3798</v>
      </c>
    </row>
    <row r="3714" spans="20:20" x14ac:dyDescent="0.2">
      <c r="T3714" t="s">
        <v>1068</v>
      </c>
    </row>
    <row r="3715" spans="20:20" x14ac:dyDescent="0.2">
      <c r="T3715" t="s">
        <v>3752</v>
      </c>
    </row>
    <row r="3716" spans="20:20" x14ac:dyDescent="0.2">
      <c r="T3716" t="s">
        <v>3799</v>
      </c>
    </row>
    <row r="3717" spans="20:20" x14ac:dyDescent="0.2">
      <c r="T3717" t="s">
        <v>3800</v>
      </c>
    </row>
    <row r="3718" spans="20:20" x14ac:dyDescent="0.2">
      <c r="T3718" t="s">
        <v>3801</v>
      </c>
    </row>
    <row r="3719" spans="20:20" x14ac:dyDescent="0.2">
      <c r="T3719" t="s">
        <v>3802</v>
      </c>
    </row>
    <row r="3720" spans="20:20" x14ac:dyDescent="0.2">
      <c r="T3720" t="s">
        <v>3803</v>
      </c>
    </row>
    <row r="3721" spans="20:20" x14ac:dyDescent="0.2">
      <c r="T3721" t="s">
        <v>3804</v>
      </c>
    </row>
    <row r="3722" spans="20:20" x14ac:dyDescent="0.2">
      <c r="T3722" t="s">
        <v>3805</v>
      </c>
    </row>
    <row r="3723" spans="20:20" x14ac:dyDescent="0.2">
      <c r="T3723" t="s">
        <v>3806</v>
      </c>
    </row>
    <row r="3724" spans="20:20" x14ac:dyDescent="0.2">
      <c r="T3724" t="s">
        <v>3807</v>
      </c>
    </row>
    <row r="3725" spans="20:20" x14ac:dyDescent="0.2">
      <c r="T3725" t="s">
        <v>3808</v>
      </c>
    </row>
    <row r="3726" spans="20:20" x14ac:dyDescent="0.2">
      <c r="T3726" t="s">
        <v>1068</v>
      </c>
    </row>
    <row r="3727" spans="20:20" x14ac:dyDescent="0.2">
      <c r="T3727" t="s">
        <v>3752</v>
      </c>
    </row>
    <row r="3728" spans="20:20" x14ac:dyDescent="0.2">
      <c r="T3728" t="s">
        <v>3809</v>
      </c>
    </row>
    <row r="3729" spans="20:20" x14ac:dyDescent="0.2">
      <c r="T3729" t="s">
        <v>3810</v>
      </c>
    </row>
    <row r="3730" spans="20:20" x14ac:dyDescent="0.2">
      <c r="T3730" t="s">
        <v>3811</v>
      </c>
    </row>
    <row r="3731" spans="20:20" x14ac:dyDescent="0.2">
      <c r="T3731" t="s">
        <v>3812</v>
      </c>
    </row>
    <row r="3732" spans="20:20" x14ac:dyDescent="0.2">
      <c r="T3732" t="s">
        <v>3813</v>
      </c>
    </row>
    <row r="3733" spans="20:20" x14ac:dyDescent="0.2">
      <c r="T3733" t="s">
        <v>3814</v>
      </c>
    </row>
    <row r="3734" spans="20:20" x14ac:dyDescent="0.2">
      <c r="T3734" t="s">
        <v>3815</v>
      </c>
    </row>
    <row r="3735" spans="20:20" x14ac:dyDescent="0.2">
      <c r="T3735" t="s">
        <v>3816</v>
      </c>
    </row>
    <row r="3736" spans="20:20" x14ac:dyDescent="0.2">
      <c r="T3736" t="s">
        <v>3817</v>
      </c>
    </row>
    <row r="3737" spans="20:20" x14ac:dyDescent="0.2">
      <c r="T3737" t="s">
        <v>3818</v>
      </c>
    </row>
    <row r="3738" spans="20:20" x14ac:dyDescent="0.2">
      <c r="T3738" t="s">
        <v>3819</v>
      </c>
    </row>
    <row r="3739" spans="20:20" x14ac:dyDescent="0.2">
      <c r="T3739" t="s">
        <v>3820</v>
      </c>
    </row>
    <row r="3740" spans="20:20" x14ac:dyDescent="0.2">
      <c r="T3740" t="s">
        <v>1068</v>
      </c>
    </row>
    <row r="3741" spans="20:20" x14ac:dyDescent="0.2">
      <c r="T3741" t="s">
        <v>3752</v>
      </c>
    </row>
    <row r="3742" spans="20:20" x14ac:dyDescent="0.2">
      <c r="T3742" t="s">
        <v>3821</v>
      </c>
    </row>
    <row r="3743" spans="20:20" x14ac:dyDescent="0.2">
      <c r="T3743" t="s">
        <v>3822</v>
      </c>
    </row>
    <row r="3744" spans="20:20" x14ac:dyDescent="0.2">
      <c r="T3744" t="s">
        <v>3823</v>
      </c>
    </row>
    <row r="3745" spans="20:20" x14ac:dyDescent="0.2">
      <c r="T3745" t="s">
        <v>3824</v>
      </c>
    </row>
    <row r="3746" spans="20:20" x14ac:dyDescent="0.2">
      <c r="T3746" t="s">
        <v>3825</v>
      </c>
    </row>
    <row r="3747" spans="20:20" x14ac:dyDescent="0.2">
      <c r="T3747" t="s">
        <v>3826</v>
      </c>
    </row>
    <row r="3748" spans="20:20" x14ac:dyDescent="0.2">
      <c r="T3748" t="s">
        <v>3827</v>
      </c>
    </row>
    <row r="3749" spans="20:20" x14ac:dyDescent="0.2">
      <c r="T3749" t="s">
        <v>3828</v>
      </c>
    </row>
    <row r="3750" spans="20:20" x14ac:dyDescent="0.2">
      <c r="T3750" t="s">
        <v>1068</v>
      </c>
    </row>
    <row r="3751" spans="20:20" x14ac:dyDescent="0.2">
      <c r="T3751" t="s">
        <v>3752</v>
      </c>
    </row>
    <row r="3752" spans="20:20" x14ac:dyDescent="0.2">
      <c r="T3752" t="s">
        <v>3829</v>
      </c>
    </row>
    <row r="3753" spans="20:20" x14ac:dyDescent="0.2">
      <c r="T3753" t="s">
        <v>3830</v>
      </c>
    </row>
    <row r="3754" spans="20:20" x14ac:dyDescent="0.2">
      <c r="T3754" t="s">
        <v>3831</v>
      </c>
    </row>
    <row r="3755" spans="20:20" x14ac:dyDescent="0.2">
      <c r="T3755" t="s">
        <v>3832</v>
      </c>
    </row>
    <row r="3756" spans="20:20" x14ac:dyDescent="0.2">
      <c r="T3756" t="s">
        <v>3833</v>
      </c>
    </row>
    <row r="3757" spans="20:20" x14ac:dyDescent="0.2">
      <c r="T3757" t="s">
        <v>3834</v>
      </c>
    </row>
    <row r="3758" spans="20:20" x14ac:dyDescent="0.2">
      <c r="T3758" t="s">
        <v>3835</v>
      </c>
    </row>
    <row r="3759" spans="20:20" x14ac:dyDescent="0.2">
      <c r="T3759" t="s">
        <v>3836</v>
      </c>
    </row>
    <row r="3760" spans="20:20" x14ac:dyDescent="0.2">
      <c r="T3760" t="s">
        <v>3837</v>
      </c>
    </row>
    <row r="3761" spans="20:20" x14ac:dyDescent="0.2">
      <c r="T3761" t="s">
        <v>1068</v>
      </c>
    </row>
    <row r="3762" spans="20:20" x14ac:dyDescent="0.2">
      <c r="T3762" t="s">
        <v>3752</v>
      </c>
    </row>
    <row r="3763" spans="20:20" x14ac:dyDescent="0.2">
      <c r="T3763" t="s">
        <v>3838</v>
      </c>
    </row>
    <row r="3764" spans="20:20" x14ac:dyDescent="0.2">
      <c r="T3764" t="s">
        <v>3839</v>
      </c>
    </row>
    <row r="3765" spans="20:20" x14ac:dyDescent="0.2">
      <c r="T3765" t="s">
        <v>3840</v>
      </c>
    </row>
    <row r="3766" spans="20:20" x14ac:dyDescent="0.2">
      <c r="T3766" t="s">
        <v>3841</v>
      </c>
    </row>
    <row r="3767" spans="20:20" x14ac:dyDescent="0.2">
      <c r="T3767" t="s">
        <v>3842</v>
      </c>
    </row>
    <row r="3768" spans="20:20" x14ac:dyDescent="0.2">
      <c r="T3768" t="s">
        <v>3843</v>
      </c>
    </row>
    <row r="3769" spans="20:20" x14ac:dyDescent="0.2">
      <c r="T3769" t="s">
        <v>3844</v>
      </c>
    </row>
    <row r="3770" spans="20:20" x14ac:dyDescent="0.2">
      <c r="T3770" t="s">
        <v>3845</v>
      </c>
    </row>
    <row r="3771" spans="20:20" x14ac:dyDescent="0.2">
      <c r="T3771" t="s">
        <v>3837</v>
      </c>
    </row>
    <row r="3772" spans="20:20" x14ac:dyDescent="0.2">
      <c r="T3772" t="s">
        <v>1068</v>
      </c>
    </row>
    <row r="3773" spans="20:20" x14ac:dyDescent="0.2">
      <c r="T3773" t="s">
        <v>3752</v>
      </c>
    </row>
    <row r="3774" spans="20:20" x14ac:dyDescent="0.2">
      <c r="T3774" t="s">
        <v>3846</v>
      </c>
    </row>
    <row r="3775" spans="20:20" x14ac:dyDescent="0.2">
      <c r="T3775" t="s">
        <v>3847</v>
      </c>
    </row>
    <row r="3776" spans="20:20" x14ac:dyDescent="0.2">
      <c r="T3776" t="s">
        <v>3848</v>
      </c>
    </row>
    <row r="3777" spans="20:20" x14ac:dyDescent="0.2">
      <c r="T3777" t="s">
        <v>3849</v>
      </c>
    </row>
    <row r="3778" spans="20:20" x14ac:dyDescent="0.2">
      <c r="T3778" t="s">
        <v>3850</v>
      </c>
    </row>
    <row r="3779" spans="20:20" x14ac:dyDescent="0.2">
      <c r="T3779" t="s">
        <v>3851</v>
      </c>
    </row>
    <row r="3780" spans="20:20" x14ac:dyDescent="0.2">
      <c r="T3780" t="s">
        <v>3852</v>
      </c>
    </row>
    <row r="3781" spans="20:20" x14ac:dyDescent="0.2">
      <c r="T3781" t="s">
        <v>1068</v>
      </c>
    </row>
    <row r="3782" spans="20:20" x14ac:dyDescent="0.2">
      <c r="T3782" t="s">
        <v>3752</v>
      </c>
    </row>
    <row r="3783" spans="20:20" x14ac:dyDescent="0.2">
      <c r="T3783" t="s">
        <v>3853</v>
      </c>
    </row>
    <row r="3784" spans="20:20" x14ac:dyDescent="0.2">
      <c r="T3784" t="s">
        <v>3761</v>
      </c>
    </row>
    <row r="3785" spans="20:20" x14ac:dyDescent="0.2">
      <c r="T3785" t="s">
        <v>3854</v>
      </c>
    </row>
    <row r="3786" spans="20:20" x14ac:dyDescent="0.2">
      <c r="T3786" t="s">
        <v>3855</v>
      </c>
    </row>
    <row r="3787" spans="20:20" x14ac:dyDescent="0.2">
      <c r="T3787" t="s">
        <v>3856</v>
      </c>
    </row>
    <row r="3788" spans="20:20" x14ac:dyDescent="0.2">
      <c r="T3788" t="s">
        <v>3857</v>
      </c>
    </row>
    <row r="3789" spans="20:20" x14ac:dyDescent="0.2">
      <c r="T3789" t="s">
        <v>3858</v>
      </c>
    </row>
    <row r="3790" spans="20:20" x14ac:dyDescent="0.2">
      <c r="T3790" t="s">
        <v>3859</v>
      </c>
    </row>
    <row r="3791" spans="20:20" x14ac:dyDescent="0.2">
      <c r="T3791" t="s">
        <v>3860</v>
      </c>
    </row>
    <row r="3792" spans="20:20" x14ac:dyDescent="0.2">
      <c r="T3792" t="s">
        <v>3861</v>
      </c>
    </row>
    <row r="3793" spans="20:20" x14ac:dyDescent="0.2">
      <c r="T3793" t="s">
        <v>3862</v>
      </c>
    </row>
    <row r="3794" spans="20:20" x14ac:dyDescent="0.2">
      <c r="T3794" t="s">
        <v>3863</v>
      </c>
    </row>
    <row r="3795" spans="20:20" x14ac:dyDescent="0.2">
      <c r="T3795" t="s">
        <v>3864</v>
      </c>
    </row>
    <row r="3796" spans="20:20" x14ac:dyDescent="0.2">
      <c r="T3796" t="s">
        <v>3865</v>
      </c>
    </row>
    <row r="3797" spans="20:20" x14ac:dyDescent="0.2">
      <c r="T3797" t="s">
        <v>3866</v>
      </c>
    </row>
    <row r="3798" spans="20:20" x14ac:dyDescent="0.2">
      <c r="T3798" t="s">
        <v>3867</v>
      </c>
    </row>
    <row r="3799" spans="20:20" x14ac:dyDescent="0.2">
      <c r="T3799" t="s">
        <v>1068</v>
      </c>
    </row>
    <row r="3800" spans="20:20" x14ac:dyDescent="0.2">
      <c r="T3800" t="s">
        <v>3752</v>
      </c>
    </row>
    <row r="3801" spans="20:20" x14ac:dyDescent="0.2">
      <c r="T3801" t="s">
        <v>3868</v>
      </c>
    </row>
    <row r="3802" spans="20:20" x14ac:dyDescent="0.2">
      <c r="T3802" t="s">
        <v>3869</v>
      </c>
    </row>
    <row r="3803" spans="20:20" x14ac:dyDescent="0.2">
      <c r="T3803" t="s">
        <v>3870</v>
      </c>
    </row>
    <row r="3804" spans="20:20" x14ac:dyDescent="0.2">
      <c r="T3804" t="s">
        <v>3871</v>
      </c>
    </row>
    <row r="3805" spans="20:20" x14ac:dyDescent="0.2">
      <c r="T3805" t="s">
        <v>3872</v>
      </c>
    </row>
    <row r="3806" spans="20:20" x14ac:dyDescent="0.2">
      <c r="T3806" t="s">
        <v>3873</v>
      </c>
    </row>
    <row r="3807" spans="20:20" x14ac:dyDescent="0.2">
      <c r="T3807" t="s">
        <v>3874</v>
      </c>
    </row>
    <row r="3808" spans="20:20" x14ac:dyDescent="0.2">
      <c r="T3808" t="s">
        <v>3875</v>
      </c>
    </row>
    <row r="3809" spans="20:20" x14ac:dyDescent="0.2">
      <c r="T3809" t="s">
        <v>1068</v>
      </c>
    </row>
    <row r="3810" spans="20:20" x14ac:dyDescent="0.2">
      <c r="T3810" t="s">
        <v>3752</v>
      </c>
    </row>
    <row r="3811" spans="20:20" x14ac:dyDescent="0.2">
      <c r="T3811" t="s">
        <v>3876</v>
      </c>
    </row>
    <row r="3812" spans="20:20" x14ac:dyDescent="0.2">
      <c r="T3812" t="s">
        <v>3761</v>
      </c>
    </row>
    <row r="3813" spans="20:20" x14ac:dyDescent="0.2">
      <c r="T3813" t="s">
        <v>3877</v>
      </c>
    </row>
    <row r="3814" spans="20:20" x14ac:dyDescent="0.2">
      <c r="T3814" t="s">
        <v>3878</v>
      </c>
    </row>
    <row r="3815" spans="20:20" x14ac:dyDescent="0.2">
      <c r="T3815" t="s">
        <v>3879</v>
      </c>
    </row>
    <row r="3816" spans="20:20" x14ac:dyDescent="0.2">
      <c r="T3816" t="s">
        <v>3880</v>
      </c>
    </row>
    <row r="3817" spans="20:20" x14ac:dyDescent="0.2">
      <c r="T3817" t="s">
        <v>3881</v>
      </c>
    </row>
    <row r="3818" spans="20:20" x14ac:dyDescent="0.2">
      <c r="T3818" t="s">
        <v>3882</v>
      </c>
    </row>
    <row r="3819" spans="20:20" x14ac:dyDescent="0.2">
      <c r="T3819" t="s">
        <v>3883</v>
      </c>
    </row>
    <row r="3820" spans="20:20" x14ac:dyDescent="0.2">
      <c r="T3820" t="s">
        <v>3884</v>
      </c>
    </row>
    <row r="3821" spans="20:20" x14ac:dyDescent="0.2">
      <c r="T3821" t="s">
        <v>3885</v>
      </c>
    </row>
    <row r="3822" spans="20:20" x14ac:dyDescent="0.2">
      <c r="T3822" t="s">
        <v>3886</v>
      </c>
    </row>
    <row r="3823" spans="20:20" x14ac:dyDescent="0.2">
      <c r="T3823" t="s">
        <v>1068</v>
      </c>
    </row>
    <row r="3824" spans="20:20" x14ac:dyDescent="0.2">
      <c r="T3824" t="s">
        <v>3752</v>
      </c>
    </row>
    <row r="3825" spans="20:20" x14ac:dyDescent="0.2">
      <c r="T3825" t="s">
        <v>3787</v>
      </c>
    </row>
    <row r="3826" spans="20:20" x14ac:dyDescent="0.2">
      <c r="T3826" t="s">
        <v>3887</v>
      </c>
    </row>
    <row r="3827" spans="20:20" x14ac:dyDescent="0.2">
      <c r="T3827" t="s">
        <v>3888</v>
      </c>
    </row>
    <row r="3828" spans="20:20" x14ac:dyDescent="0.2">
      <c r="T3828" t="s">
        <v>3889</v>
      </c>
    </row>
    <row r="3829" spans="20:20" x14ac:dyDescent="0.2">
      <c r="T3829" t="s">
        <v>3890</v>
      </c>
    </row>
    <row r="3830" spans="20:20" x14ac:dyDescent="0.2">
      <c r="T3830" t="s">
        <v>3891</v>
      </c>
    </row>
    <row r="3831" spans="20:20" x14ac:dyDescent="0.2">
      <c r="T3831" t="s">
        <v>3892</v>
      </c>
    </row>
    <row r="3832" spans="20:20" x14ac:dyDescent="0.2">
      <c r="T3832" t="s">
        <v>3893</v>
      </c>
    </row>
    <row r="3833" spans="20:20" x14ac:dyDescent="0.2">
      <c r="T3833" t="s">
        <v>3894</v>
      </c>
    </row>
    <row r="3834" spans="20:20" x14ac:dyDescent="0.2">
      <c r="T3834" t="s">
        <v>3895</v>
      </c>
    </row>
    <row r="3835" spans="20:20" x14ac:dyDescent="0.2">
      <c r="T3835" t="s">
        <v>1068</v>
      </c>
    </row>
    <row r="3836" spans="20:20" x14ac:dyDescent="0.2">
      <c r="T3836" t="s">
        <v>3752</v>
      </c>
    </row>
    <row r="3837" spans="20:20" x14ac:dyDescent="0.2">
      <c r="T3837" t="s">
        <v>3896</v>
      </c>
    </row>
    <row r="3838" spans="20:20" x14ac:dyDescent="0.2">
      <c r="T3838" t="s">
        <v>3897</v>
      </c>
    </row>
    <row r="3839" spans="20:20" x14ac:dyDescent="0.2">
      <c r="T3839" t="s">
        <v>3898</v>
      </c>
    </row>
    <row r="3840" spans="20:20" x14ac:dyDescent="0.2">
      <c r="T3840" t="s">
        <v>3899</v>
      </c>
    </row>
    <row r="3841" spans="20:20" x14ac:dyDescent="0.2">
      <c r="T3841" t="s">
        <v>3900</v>
      </c>
    </row>
    <row r="3842" spans="20:20" x14ac:dyDescent="0.2">
      <c r="T3842" t="s">
        <v>3901</v>
      </c>
    </row>
    <row r="3843" spans="20:20" x14ac:dyDescent="0.2">
      <c r="T3843" t="s">
        <v>3902</v>
      </c>
    </row>
    <row r="3844" spans="20:20" x14ac:dyDescent="0.2">
      <c r="T3844" t="s">
        <v>3903</v>
      </c>
    </row>
    <row r="3845" spans="20:20" x14ac:dyDescent="0.2">
      <c r="T3845" t="s">
        <v>3904</v>
      </c>
    </row>
    <row r="3846" spans="20:20" x14ac:dyDescent="0.2">
      <c r="T3846" t="s">
        <v>3905</v>
      </c>
    </row>
    <row r="3847" spans="20:20" x14ac:dyDescent="0.2">
      <c r="T3847" t="s">
        <v>3906</v>
      </c>
    </row>
    <row r="3848" spans="20:20" x14ac:dyDescent="0.2">
      <c r="T3848" t="s">
        <v>3907</v>
      </c>
    </row>
    <row r="3849" spans="20:20" x14ac:dyDescent="0.2">
      <c r="T3849" t="s">
        <v>3908</v>
      </c>
    </row>
    <row r="3850" spans="20:20" x14ac:dyDescent="0.2">
      <c r="T3850" t="s">
        <v>3909</v>
      </c>
    </row>
    <row r="3851" spans="20:20" x14ac:dyDescent="0.2">
      <c r="T3851" t="s">
        <v>3910</v>
      </c>
    </row>
    <row r="3852" spans="20:20" x14ac:dyDescent="0.2">
      <c r="T3852" t="s">
        <v>3911</v>
      </c>
    </row>
    <row r="3853" spans="20:20" x14ac:dyDescent="0.2">
      <c r="T3853" t="s">
        <v>3912</v>
      </c>
    </row>
    <row r="3854" spans="20:20" x14ac:dyDescent="0.2">
      <c r="T3854" t="s">
        <v>1068</v>
      </c>
    </row>
    <row r="3855" spans="20:20" x14ac:dyDescent="0.2">
      <c r="T3855" t="s">
        <v>3752</v>
      </c>
    </row>
    <row r="3856" spans="20:20" x14ac:dyDescent="0.2">
      <c r="T3856" t="s">
        <v>3809</v>
      </c>
    </row>
    <row r="3857" spans="20:20" x14ac:dyDescent="0.2">
      <c r="T3857" t="s">
        <v>3913</v>
      </c>
    </row>
    <row r="3858" spans="20:20" x14ac:dyDescent="0.2">
      <c r="T3858" t="s">
        <v>3914</v>
      </c>
    </row>
    <row r="3859" spans="20:20" x14ac:dyDescent="0.2">
      <c r="T3859" t="s">
        <v>3915</v>
      </c>
    </row>
    <row r="3860" spans="20:20" x14ac:dyDescent="0.2">
      <c r="T3860" t="s">
        <v>3916</v>
      </c>
    </row>
    <row r="3861" spans="20:20" x14ac:dyDescent="0.2">
      <c r="T3861" t="s">
        <v>3917</v>
      </c>
    </row>
    <row r="3862" spans="20:20" x14ac:dyDescent="0.2">
      <c r="T3862" t="s">
        <v>3918</v>
      </c>
    </row>
    <row r="3863" spans="20:20" x14ac:dyDescent="0.2">
      <c r="T3863" t="s">
        <v>3919</v>
      </c>
    </row>
    <row r="3864" spans="20:20" x14ac:dyDescent="0.2">
      <c r="T3864" t="s">
        <v>3920</v>
      </c>
    </row>
    <row r="3865" spans="20:20" x14ac:dyDescent="0.2">
      <c r="T3865" t="s">
        <v>3921</v>
      </c>
    </row>
    <row r="3866" spans="20:20" x14ac:dyDescent="0.2">
      <c r="T3866" t="s">
        <v>3922</v>
      </c>
    </row>
    <row r="3867" spans="20:20" x14ac:dyDescent="0.2">
      <c r="T3867" t="s">
        <v>3923</v>
      </c>
    </row>
    <row r="3868" spans="20:20" x14ac:dyDescent="0.2">
      <c r="T3868" t="s">
        <v>3924</v>
      </c>
    </row>
    <row r="3869" spans="20:20" x14ac:dyDescent="0.2">
      <c r="T3869" t="s">
        <v>1068</v>
      </c>
    </row>
    <row r="3870" spans="20:20" x14ac:dyDescent="0.2">
      <c r="T3870" t="s">
        <v>3752</v>
      </c>
    </row>
    <row r="3871" spans="20:20" x14ac:dyDescent="0.2">
      <c r="T3871" t="s">
        <v>3925</v>
      </c>
    </row>
    <row r="3872" spans="20:20" x14ac:dyDescent="0.2">
      <c r="T3872" t="s">
        <v>3926</v>
      </c>
    </row>
    <row r="3873" spans="20:20" x14ac:dyDescent="0.2">
      <c r="T3873" t="s">
        <v>3927</v>
      </c>
    </row>
    <row r="3874" spans="20:20" x14ac:dyDescent="0.2">
      <c r="T3874" t="s">
        <v>3928</v>
      </c>
    </row>
    <row r="3875" spans="20:20" x14ac:dyDescent="0.2">
      <c r="T3875" t="s">
        <v>3929</v>
      </c>
    </row>
    <row r="3876" spans="20:20" x14ac:dyDescent="0.2">
      <c r="T3876" t="s">
        <v>3930</v>
      </c>
    </row>
    <row r="3877" spans="20:20" x14ac:dyDescent="0.2">
      <c r="T3877" t="s">
        <v>3931</v>
      </c>
    </row>
    <row r="3878" spans="20:20" x14ac:dyDescent="0.2">
      <c r="T3878" t="s">
        <v>3932</v>
      </c>
    </row>
    <row r="3879" spans="20:20" x14ac:dyDescent="0.2">
      <c r="T3879" t="s">
        <v>3933</v>
      </c>
    </row>
    <row r="3880" spans="20:20" x14ac:dyDescent="0.2">
      <c r="T3880" t="s">
        <v>3934</v>
      </c>
    </row>
    <row r="3881" spans="20:20" x14ac:dyDescent="0.2">
      <c r="T3881" t="s">
        <v>1068</v>
      </c>
    </row>
    <row r="3882" spans="20:20" x14ac:dyDescent="0.2">
      <c r="T3882" t="s">
        <v>3752</v>
      </c>
    </row>
    <row r="3883" spans="20:20" x14ac:dyDescent="0.2">
      <c r="T3883" t="s">
        <v>3935</v>
      </c>
    </row>
    <row r="3884" spans="20:20" x14ac:dyDescent="0.2">
      <c r="T3884" t="s">
        <v>3936</v>
      </c>
    </row>
    <row r="3885" spans="20:20" x14ac:dyDescent="0.2">
      <c r="T3885" t="s">
        <v>3937</v>
      </c>
    </row>
    <row r="3886" spans="20:20" x14ac:dyDescent="0.2">
      <c r="T3886" t="s">
        <v>3938</v>
      </c>
    </row>
    <row r="3887" spans="20:20" x14ac:dyDescent="0.2">
      <c r="T3887" t="s">
        <v>3939</v>
      </c>
    </row>
    <row r="3888" spans="20:20" x14ac:dyDescent="0.2">
      <c r="T3888" t="s">
        <v>3940</v>
      </c>
    </row>
    <row r="3889" spans="20:20" x14ac:dyDescent="0.2">
      <c r="T3889" t="s">
        <v>1068</v>
      </c>
    </row>
    <row r="3890" spans="20:20" x14ac:dyDescent="0.2">
      <c r="T3890" t="s">
        <v>3752</v>
      </c>
    </row>
    <row r="3891" spans="20:20" x14ac:dyDescent="0.2">
      <c r="T3891" t="s">
        <v>3941</v>
      </c>
    </row>
    <row r="3892" spans="20:20" x14ac:dyDescent="0.2">
      <c r="T3892" t="s">
        <v>3942</v>
      </c>
    </row>
    <row r="3893" spans="20:20" x14ac:dyDescent="0.2">
      <c r="T3893" t="s">
        <v>3943</v>
      </c>
    </row>
    <row r="3894" spans="20:20" x14ac:dyDescent="0.2">
      <c r="T3894" t="s">
        <v>3944</v>
      </c>
    </row>
    <row r="3895" spans="20:20" x14ac:dyDescent="0.2">
      <c r="T3895" t="s">
        <v>3945</v>
      </c>
    </row>
    <row r="3896" spans="20:20" x14ac:dyDescent="0.2">
      <c r="T3896" t="s">
        <v>3946</v>
      </c>
    </row>
    <row r="3897" spans="20:20" x14ac:dyDescent="0.2">
      <c r="T3897" t="s">
        <v>3947</v>
      </c>
    </row>
    <row r="3898" spans="20:20" x14ac:dyDescent="0.2">
      <c r="T3898" t="s">
        <v>3948</v>
      </c>
    </row>
    <row r="3899" spans="20:20" x14ac:dyDescent="0.2">
      <c r="T3899" t="s">
        <v>496</v>
      </c>
    </row>
    <row r="3900" spans="20:20" x14ac:dyDescent="0.2">
      <c r="T3900" t="s">
        <v>497</v>
      </c>
    </row>
    <row r="3901" spans="20:20" x14ac:dyDescent="0.2">
      <c r="T3901" t="s">
        <v>498</v>
      </c>
    </row>
    <row r="3902" spans="20:20" x14ac:dyDescent="0.2">
      <c r="T3902" t="s">
        <v>3949</v>
      </c>
    </row>
    <row r="3903" spans="20:20" x14ac:dyDescent="0.2">
      <c r="T3903" t="s">
        <v>3950</v>
      </c>
    </row>
    <row r="3904" spans="20:20" x14ac:dyDescent="0.2">
      <c r="T3904" t="s">
        <v>3951</v>
      </c>
    </row>
    <row r="3905" spans="20:20" x14ac:dyDescent="0.2">
      <c r="T3905" t="s">
        <v>3952</v>
      </c>
    </row>
    <row r="3906" spans="20:20" x14ac:dyDescent="0.2">
      <c r="T3906" t="s">
        <v>3953</v>
      </c>
    </row>
    <row r="3907" spans="20:20" x14ac:dyDescent="0.2">
      <c r="T3907" t="s">
        <v>3954</v>
      </c>
    </row>
    <row r="3908" spans="20:20" x14ac:dyDescent="0.2">
      <c r="T3908" t="s">
        <v>3955</v>
      </c>
    </row>
    <row r="3909" spans="20:20" x14ac:dyDescent="0.2">
      <c r="T3909" t="s">
        <v>3956</v>
      </c>
    </row>
    <row r="3910" spans="20:20" x14ac:dyDescent="0.2">
      <c r="T3910" t="s">
        <v>3957</v>
      </c>
    </row>
    <row r="3911" spans="20:20" x14ac:dyDescent="0.2">
      <c r="T3911" t="s">
        <v>3958</v>
      </c>
    </row>
    <row r="3912" spans="20:20" x14ac:dyDescent="0.2">
      <c r="T3912" t="s">
        <v>3959</v>
      </c>
    </row>
    <row r="3913" spans="20:20" x14ac:dyDescent="0.2">
      <c r="T3913" t="s">
        <v>3960</v>
      </c>
    </row>
    <row r="3914" spans="20:20" x14ac:dyDescent="0.2">
      <c r="T3914" t="s">
        <v>3961</v>
      </c>
    </row>
    <row r="3915" spans="20:20" x14ac:dyDescent="0.2">
      <c r="T3915" t="s">
        <v>3962</v>
      </c>
    </row>
    <row r="3916" spans="20:20" x14ac:dyDescent="0.2">
      <c r="T3916" t="s">
        <v>3963</v>
      </c>
    </row>
    <row r="3917" spans="20:20" x14ac:dyDescent="0.2">
      <c r="T3917" t="s">
        <v>3964</v>
      </c>
    </row>
    <row r="3918" spans="20:20" x14ac:dyDescent="0.2">
      <c r="T3918" t="s">
        <v>3965</v>
      </c>
    </row>
    <row r="3919" spans="20:20" x14ac:dyDescent="0.2">
      <c r="T3919" t="s">
        <v>3966</v>
      </c>
    </row>
    <row r="3920" spans="20:20" x14ac:dyDescent="0.2">
      <c r="T3920" t="s">
        <v>3967</v>
      </c>
    </row>
    <row r="3921" spans="20:20" x14ac:dyDescent="0.2">
      <c r="T3921" t="s">
        <v>3968</v>
      </c>
    </row>
    <row r="3922" spans="20:20" x14ac:dyDescent="0.2">
      <c r="T3922" t="s">
        <v>3969</v>
      </c>
    </row>
    <row r="3923" spans="20:20" x14ac:dyDescent="0.2">
      <c r="T3923" t="s">
        <v>3970</v>
      </c>
    </row>
    <row r="3924" spans="20:20" x14ac:dyDescent="0.2">
      <c r="T3924" t="s">
        <v>3971</v>
      </c>
    </row>
    <row r="3925" spans="20:20" x14ac:dyDescent="0.2">
      <c r="T3925" t="s">
        <v>3972</v>
      </c>
    </row>
    <row r="3926" spans="20:20" x14ac:dyDescent="0.2">
      <c r="T3926" t="s">
        <v>3973</v>
      </c>
    </row>
    <row r="3927" spans="20:20" x14ac:dyDescent="0.2">
      <c r="T3927" t="s">
        <v>3974</v>
      </c>
    </row>
    <row r="3928" spans="20:20" x14ac:dyDescent="0.2">
      <c r="T3928" t="s">
        <v>3975</v>
      </c>
    </row>
    <row r="3929" spans="20:20" x14ac:dyDescent="0.2">
      <c r="T3929" t="s">
        <v>3976</v>
      </c>
    </row>
    <row r="3930" spans="20:20" x14ac:dyDescent="0.2">
      <c r="T3930" t="s">
        <v>3977</v>
      </c>
    </row>
    <row r="3931" spans="20:20" x14ac:dyDescent="0.2">
      <c r="T3931" t="s">
        <v>3978</v>
      </c>
    </row>
    <row r="3932" spans="20:20" x14ac:dyDescent="0.2">
      <c r="T3932" t="s">
        <v>3979</v>
      </c>
    </row>
    <row r="3933" spans="20:20" x14ac:dyDescent="0.2">
      <c r="T3933" t="s">
        <v>3980</v>
      </c>
    </row>
    <row r="3934" spans="20:20" x14ac:dyDescent="0.2">
      <c r="T3934" t="s">
        <v>3981</v>
      </c>
    </row>
    <row r="3935" spans="20:20" x14ac:dyDescent="0.2">
      <c r="T3935" t="s">
        <v>3982</v>
      </c>
    </row>
    <row r="3936" spans="20:20" x14ac:dyDescent="0.2">
      <c r="T3936" t="s">
        <v>3983</v>
      </c>
    </row>
    <row r="3937" spans="20:20" x14ac:dyDescent="0.2">
      <c r="T3937" t="s">
        <v>3984</v>
      </c>
    </row>
    <row r="3938" spans="20:20" x14ac:dyDescent="0.2">
      <c r="T3938" t="s">
        <v>3985</v>
      </c>
    </row>
    <row r="3939" spans="20:20" x14ac:dyDescent="0.2">
      <c r="T3939" t="s">
        <v>3986</v>
      </c>
    </row>
    <row r="3940" spans="20:20" x14ac:dyDescent="0.2">
      <c r="T3940" t="s">
        <v>3987</v>
      </c>
    </row>
    <row r="3941" spans="20:20" x14ac:dyDescent="0.2">
      <c r="T3941" t="s">
        <v>3988</v>
      </c>
    </row>
    <row r="3942" spans="20:20" x14ac:dyDescent="0.2">
      <c r="T3942" t="s">
        <v>3989</v>
      </c>
    </row>
    <row r="3943" spans="20:20" x14ac:dyDescent="0.2">
      <c r="T3943" t="s">
        <v>3990</v>
      </c>
    </row>
    <row r="3944" spans="20:20" x14ac:dyDescent="0.2">
      <c r="T3944" t="s">
        <v>3991</v>
      </c>
    </row>
    <row r="3945" spans="20:20" x14ac:dyDescent="0.2">
      <c r="T3945" t="s">
        <v>3992</v>
      </c>
    </row>
    <row r="3946" spans="20:20" x14ac:dyDescent="0.2">
      <c r="T3946" t="s">
        <v>3993</v>
      </c>
    </row>
    <row r="3947" spans="20:20" x14ac:dyDescent="0.2">
      <c r="T3947" t="s">
        <v>3994</v>
      </c>
    </row>
    <row r="3948" spans="20:20" x14ac:dyDescent="0.2">
      <c r="T3948" t="s">
        <v>3995</v>
      </c>
    </row>
    <row r="3949" spans="20:20" x14ac:dyDescent="0.2">
      <c r="T3949" t="s">
        <v>3996</v>
      </c>
    </row>
    <row r="3950" spans="20:20" x14ac:dyDescent="0.2">
      <c r="T3950" t="s">
        <v>3997</v>
      </c>
    </row>
    <row r="3951" spans="20:20" x14ac:dyDescent="0.2">
      <c r="T3951" t="s">
        <v>3998</v>
      </c>
    </row>
    <row r="3952" spans="20:20" x14ac:dyDescent="0.2">
      <c r="T3952" t="s">
        <v>3999</v>
      </c>
    </row>
    <row r="3953" spans="20:20" x14ac:dyDescent="0.2">
      <c r="T3953" t="s">
        <v>4000</v>
      </c>
    </row>
    <row r="3954" spans="20:20" x14ac:dyDescent="0.2">
      <c r="T3954" t="s">
        <v>4001</v>
      </c>
    </row>
    <row r="3955" spans="20:20" x14ac:dyDescent="0.2">
      <c r="T3955" t="s">
        <v>4002</v>
      </c>
    </row>
    <row r="3956" spans="20:20" x14ac:dyDescent="0.2">
      <c r="T3956" t="s">
        <v>4003</v>
      </c>
    </row>
    <row r="3957" spans="20:20" x14ac:dyDescent="0.2">
      <c r="T3957" t="s">
        <v>4004</v>
      </c>
    </row>
    <row r="3958" spans="20:20" x14ac:dyDescent="0.2">
      <c r="T3958" t="s">
        <v>4005</v>
      </c>
    </row>
    <row r="3959" spans="20:20" x14ac:dyDescent="0.2">
      <c r="T3959" t="s">
        <v>4006</v>
      </c>
    </row>
    <row r="3960" spans="20:20" x14ac:dyDescent="0.2">
      <c r="T3960" t="s">
        <v>4007</v>
      </c>
    </row>
    <row r="3961" spans="20:20" x14ac:dyDescent="0.2">
      <c r="T3961" t="s">
        <v>4008</v>
      </c>
    </row>
    <row r="3962" spans="20:20" x14ac:dyDescent="0.2">
      <c r="T3962" t="s">
        <v>4009</v>
      </c>
    </row>
    <row r="3963" spans="20:20" x14ac:dyDescent="0.2">
      <c r="T3963" t="s">
        <v>4010</v>
      </c>
    </row>
    <row r="3964" spans="20:20" x14ac:dyDescent="0.2">
      <c r="T3964" t="s">
        <v>4011</v>
      </c>
    </row>
    <row r="3965" spans="20:20" x14ac:dyDescent="0.2">
      <c r="T3965" t="s">
        <v>4012</v>
      </c>
    </row>
    <row r="3966" spans="20:20" x14ac:dyDescent="0.2">
      <c r="T3966" t="s">
        <v>4013</v>
      </c>
    </row>
    <row r="3967" spans="20:20" x14ac:dyDescent="0.2">
      <c r="T3967" t="s">
        <v>4014</v>
      </c>
    </row>
    <row r="3968" spans="20:20" x14ac:dyDescent="0.2">
      <c r="T3968" t="s">
        <v>4015</v>
      </c>
    </row>
    <row r="3969" spans="20:20" x14ac:dyDescent="0.2">
      <c r="T3969" t="s">
        <v>4016</v>
      </c>
    </row>
    <row r="3970" spans="20:20" x14ac:dyDescent="0.2">
      <c r="T3970" t="s">
        <v>4017</v>
      </c>
    </row>
    <row r="3971" spans="20:20" x14ac:dyDescent="0.2">
      <c r="T3971" t="s">
        <v>4018</v>
      </c>
    </row>
    <row r="3972" spans="20:20" x14ac:dyDescent="0.2">
      <c r="T3972" t="s">
        <v>4019</v>
      </c>
    </row>
    <row r="3973" spans="20:20" x14ac:dyDescent="0.2">
      <c r="T3973" t="s">
        <v>4020</v>
      </c>
    </row>
    <row r="3974" spans="20:20" x14ac:dyDescent="0.2">
      <c r="T3974" t="s">
        <v>4021</v>
      </c>
    </row>
    <row r="3975" spans="20:20" x14ac:dyDescent="0.2">
      <c r="T3975" t="s">
        <v>4022</v>
      </c>
    </row>
    <row r="3976" spans="20:20" x14ac:dyDescent="0.2">
      <c r="T3976" t="s">
        <v>4023</v>
      </c>
    </row>
    <row r="3977" spans="20:20" x14ac:dyDescent="0.2">
      <c r="T3977" t="s">
        <v>4024</v>
      </c>
    </row>
    <row r="3978" spans="20:20" x14ac:dyDescent="0.2">
      <c r="T3978" t="s">
        <v>4025</v>
      </c>
    </row>
    <row r="3979" spans="20:20" x14ac:dyDescent="0.2">
      <c r="T3979" t="s">
        <v>4026</v>
      </c>
    </row>
    <row r="3980" spans="20:20" x14ac:dyDescent="0.2">
      <c r="T3980" t="s">
        <v>4027</v>
      </c>
    </row>
    <row r="3981" spans="20:20" x14ac:dyDescent="0.2">
      <c r="T3981" t="s">
        <v>4028</v>
      </c>
    </row>
    <row r="3982" spans="20:20" x14ac:dyDescent="0.2">
      <c r="T3982" t="s">
        <v>4029</v>
      </c>
    </row>
    <row r="3983" spans="20:20" x14ac:dyDescent="0.2">
      <c r="T3983" t="s">
        <v>4030</v>
      </c>
    </row>
    <row r="3984" spans="20:20" x14ac:dyDescent="0.2">
      <c r="T3984" t="s">
        <v>4031</v>
      </c>
    </row>
    <row r="3985" spans="20:20" x14ac:dyDescent="0.2">
      <c r="T3985" t="s">
        <v>4032</v>
      </c>
    </row>
    <row r="3986" spans="20:20" x14ac:dyDescent="0.2">
      <c r="T3986" t="s">
        <v>4033</v>
      </c>
    </row>
    <row r="3987" spans="20:20" x14ac:dyDescent="0.2">
      <c r="T3987" t="s">
        <v>4034</v>
      </c>
    </row>
    <row r="3988" spans="20:20" x14ac:dyDescent="0.2">
      <c r="T3988" t="s">
        <v>4035</v>
      </c>
    </row>
    <row r="3989" spans="20:20" x14ac:dyDescent="0.2">
      <c r="T3989" t="s">
        <v>4036</v>
      </c>
    </row>
    <row r="3990" spans="20:20" x14ac:dyDescent="0.2">
      <c r="T3990" t="s">
        <v>4037</v>
      </c>
    </row>
    <row r="3991" spans="20:20" x14ac:dyDescent="0.2">
      <c r="T3991" t="s">
        <v>4038</v>
      </c>
    </row>
    <row r="3992" spans="20:20" x14ac:dyDescent="0.2">
      <c r="T3992" t="s">
        <v>4039</v>
      </c>
    </row>
    <row r="3993" spans="20:20" x14ac:dyDescent="0.2">
      <c r="T3993" t="s">
        <v>4040</v>
      </c>
    </row>
    <row r="3994" spans="20:20" x14ac:dyDescent="0.2">
      <c r="T3994" t="s">
        <v>4041</v>
      </c>
    </row>
    <row r="3995" spans="20:20" x14ac:dyDescent="0.2">
      <c r="T3995" t="s">
        <v>4042</v>
      </c>
    </row>
    <row r="3996" spans="20:20" x14ac:dyDescent="0.2">
      <c r="T3996" t="s">
        <v>4043</v>
      </c>
    </row>
    <row r="3997" spans="20:20" x14ac:dyDescent="0.2">
      <c r="T3997" t="s">
        <v>4044</v>
      </c>
    </row>
    <row r="3998" spans="20:20" x14ac:dyDescent="0.2">
      <c r="T3998" t="s">
        <v>4045</v>
      </c>
    </row>
    <row r="3999" spans="20:20" x14ac:dyDescent="0.2">
      <c r="T3999" t="s">
        <v>4046</v>
      </c>
    </row>
    <row r="4000" spans="20:20" x14ac:dyDescent="0.2">
      <c r="T4000" t="s">
        <v>1068</v>
      </c>
    </row>
    <row r="4001" spans="20:20" x14ac:dyDescent="0.2">
      <c r="T4001" t="s">
        <v>3752</v>
      </c>
    </row>
    <row r="4002" spans="20:20" x14ac:dyDescent="0.2">
      <c r="T4002" t="s">
        <v>3896</v>
      </c>
    </row>
    <row r="4003" spans="20:20" x14ac:dyDescent="0.2">
      <c r="T4003" t="s">
        <v>4047</v>
      </c>
    </row>
    <row r="4004" spans="20:20" x14ac:dyDescent="0.2">
      <c r="T4004" t="s">
        <v>4048</v>
      </c>
    </row>
    <row r="4005" spans="20:20" x14ac:dyDescent="0.2">
      <c r="T4005" t="s">
        <v>4049</v>
      </c>
    </row>
    <row r="4006" spans="20:20" x14ac:dyDescent="0.2">
      <c r="T4006" t="s">
        <v>4050</v>
      </c>
    </row>
    <row r="4007" spans="20:20" x14ac:dyDescent="0.2">
      <c r="T4007" t="s">
        <v>4051</v>
      </c>
    </row>
    <row r="4008" spans="20:20" x14ac:dyDescent="0.2">
      <c r="T4008" t="s">
        <v>4052</v>
      </c>
    </row>
    <row r="4009" spans="20:20" x14ac:dyDescent="0.2">
      <c r="T4009" t="s">
        <v>4053</v>
      </c>
    </row>
    <row r="4010" spans="20:20" x14ac:dyDescent="0.2">
      <c r="T4010" t="s">
        <v>4054</v>
      </c>
    </row>
    <row r="4011" spans="20:20" x14ac:dyDescent="0.2">
      <c r="T4011" t="s">
        <v>4055</v>
      </c>
    </row>
    <row r="4012" spans="20:20" x14ac:dyDescent="0.2">
      <c r="T4012" t="s">
        <v>4056</v>
      </c>
    </row>
    <row r="4013" spans="20:20" x14ac:dyDescent="0.2">
      <c r="T4013" t="s">
        <v>4057</v>
      </c>
    </row>
    <row r="4014" spans="20:20" x14ac:dyDescent="0.2">
      <c r="T4014" t="s">
        <v>4058</v>
      </c>
    </row>
    <row r="4015" spans="20:20" x14ac:dyDescent="0.2">
      <c r="T4015" t="s">
        <v>4059</v>
      </c>
    </row>
    <row r="4016" spans="20:20" x14ac:dyDescent="0.2">
      <c r="T4016" t="s">
        <v>4060</v>
      </c>
    </row>
    <row r="4017" spans="20:20" x14ac:dyDescent="0.2">
      <c r="T4017" t="s">
        <v>4061</v>
      </c>
    </row>
    <row r="4018" spans="20:20" x14ac:dyDescent="0.2">
      <c r="T4018" t="s">
        <v>1068</v>
      </c>
    </row>
    <row r="4019" spans="20:20" x14ac:dyDescent="0.2">
      <c r="T4019" t="s">
        <v>1556</v>
      </c>
    </row>
    <row r="4020" spans="20:20" x14ac:dyDescent="0.2">
      <c r="T4020" t="s">
        <v>4062</v>
      </c>
    </row>
    <row r="4021" spans="20:20" x14ac:dyDescent="0.2">
      <c r="T4021" t="s">
        <v>4063</v>
      </c>
    </row>
    <row r="4022" spans="20:20" x14ac:dyDescent="0.2">
      <c r="T4022" t="s">
        <v>4064</v>
      </c>
    </row>
    <row r="4023" spans="20:20" x14ac:dyDescent="0.2">
      <c r="T4023" t="s">
        <v>4065</v>
      </c>
    </row>
    <row r="4024" spans="20:20" x14ac:dyDescent="0.2">
      <c r="T4024" t="s">
        <v>4066</v>
      </c>
    </row>
    <row r="4025" spans="20:20" x14ac:dyDescent="0.2">
      <c r="T4025" t="s">
        <v>4067</v>
      </c>
    </row>
    <row r="4026" spans="20:20" x14ac:dyDescent="0.2">
      <c r="T4026" t="s">
        <v>4068</v>
      </c>
    </row>
    <row r="4027" spans="20:20" x14ac:dyDescent="0.2">
      <c r="T4027" t="s">
        <v>4069</v>
      </c>
    </row>
    <row r="4028" spans="20:20" x14ac:dyDescent="0.2">
      <c r="T4028" t="s">
        <v>1068</v>
      </c>
    </row>
    <row r="4029" spans="20:20" x14ac:dyDescent="0.2">
      <c r="T4029" t="s">
        <v>3752</v>
      </c>
    </row>
    <row r="4030" spans="20:20" x14ac:dyDescent="0.2">
      <c r="T4030" t="s">
        <v>4070</v>
      </c>
    </row>
    <row r="4031" spans="20:20" x14ac:dyDescent="0.2">
      <c r="T4031" t="s">
        <v>4071</v>
      </c>
    </row>
    <row r="4032" spans="20:20" x14ac:dyDescent="0.2">
      <c r="T4032" t="s">
        <v>4072</v>
      </c>
    </row>
    <row r="4033" spans="20:20" x14ac:dyDescent="0.2">
      <c r="T4033" t="s">
        <v>4073</v>
      </c>
    </row>
    <row r="4034" spans="20:20" x14ac:dyDescent="0.2">
      <c r="T4034" t="s">
        <v>4074</v>
      </c>
    </row>
    <row r="4035" spans="20:20" x14ac:dyDescent="0.2">
      <c r="T4035" t="s">
        <v>4075</v>
      </c>
    </row>
    <row r="4036" spans="20:20" x14ac:dyDescent="0.2">
      <c r="T4036" t="s">
        <v>4076</v>
      </c>
    </row>
    <row r="4037" spans="20:20" x14ac:dyDescent="0.2">
      <c r="T4037" t="s">
        <v>4077</v>
      </c>
    </row>
    <row r="4038" spans="20:20" x14ac:dyDescent="0.2">
      <c r="T4038" t="s">
        <v>4078</v>
      </c>
    </row>
    <row r="4039" spans="20:20" x14ac:dyDescent="0.2">
      <c r="T4039" t="s">
        <v>4079</v>
      </c>
    </row>
    <row r="4040" spans="20:20" x14ac:dyDescent="0.2">
      <c r="T4040" t="s">
        <v>1068</v>
      </c>
    </row>
    <row r="4041" spans="20:20" x14ac:dyDescent="0.2">
      <c r="T4041" t="s">
        <v>3752</v>
      </c>
    </row>
    <row r="4042" spans="20:20" x14ac:dyDescent="0.2">
      <c r="T4042" t="s">
        <v>4080</v>
      </c>
    </row>
    <row r="4043" spans="20:20" x14ac:dyDescent="0.2">
      <c r="T4043" t="s">
        <v>3774</v>
      </c>
    </row>
    <row r="4044" spans="20:20" x14ac:dyDescent="0.2">
      <c r="T4044" t="s">
        <v>4081</v>
      </c>
    </row>
    <row r="4045" spans="20:20" x14ac:dyDescent="0.2">
      <c r="T4045" t="s">
        <v>4082</v>
      </c>
    </row>
    <row r="4046" spans="20:20" x14ac:dyDescent="0.2">
      <c r="T4046" t="s">
        <v>4083</v>
      </c>
    </row>
    <row r="4047" spans="20:20" x14ac:dyDescent="0.2">
      <c r="T4047" t="s">
        <v>4084</v>
      </c>
    </row>
    <row r="4048" spans="20:20" x14ac:dyDescent="0.2">
      <c r="T4048" t="s">
        <v>4085</v>
      </c>
    </row>
    <row r="4049" spans="20:20" x14ac:dyDescent="0.2">
      <c r="T4049" t="s">
        <v>4086</v>
      </c>
    </row>
    <row r="4050" spans="20:20" x14ac:dyDescent="0.2">
      <c r="T4050" t="s">
        <v>4087</v>
      </c>
    </row>
    <row r="4051" spans="20:20" x14ac:dyDescent="0.2">
      <c r="T4051" t="s">
        <v>4088</v>
      </c>
    </row>
    <row r="4052" spans="20:20" x14ac:dyDescent="0.2">
      <c r="T4052" t="s">
        <v>4089</v>
      </c>
    </row>
    <row r="4053" spans="20:20" x14ac:dyDescent="0.2">
      <c r="T4053" t="s">
        <v>4090</v>
      </c>
    </row>
    <row r="4054" spans="20:20" x14ac:dyDescent="0.2">
      <c r="T4054" t="s">
        <v>1068</v>
      </c>
    </row>
    <row r="4055" spans="20:20" x14ac:dyDescent="0.2">
      <c r="T4055" t="s">
        <v>3752</v>
      </c>
    </row>
    <row r="4056" spans="20:20" x14ac:dyDescent="0.2">
      <c r="T4056" t="s">
        <v>4091</v>
      </c>
    </row>
    <row r="4057" spans="20:20" x14ac:dyDescent="0.2">
      <c r="T4057" t="s">
        <v>4092</v>
      </c>
    </row>
    <row r="4058" spans="20:20" x14ac:dyDescent="0.2">
      <c r="T4058" t="s">
        <v>4093</v>
      </c>
    </row>
    <row r="4059" spans="20:20" x14ac:dyDescent="0.2">
      <c r="T4059" t="s">
        <v>4094</v>
      </c>
    </row>
    <row r="4060" spans="20:20" x14ac:dyDescent="0.2">
      <c r="T4060" t="s">
        <v>4095</v>
      </c>
    </row>
    <row r="4061" spans="20:20" x14ac:dyDescent="0.2">
      <c r="T4061" t="s">
        <v>4096</v>
      </c>
    </row>
    <row r="4062" spans="20:20" x14ac:dyDescent="0.2">
      <c r="T4062" t="s">
        <v>4097</v>
      </c>
    </row>
    <row r="4063" spans="20:20" x14ac:dyDescent="0.2">
      <c r="T4063" t="s">
        <v>4098</v>
      </c>
    </row>
    <row r="4064" spans="20:20" x14ac:dyDescent="0.2">
      <c r="T4064" t="s">
        <v>4099</v>
      </c>
    </row>
    <row r="4065" spans="20:20" x14ac:dyDescent="0.2">
      <c r="T4065" t="s">
        <v>4100</v>
      </c>
    </row>
    <row r="4066" spans="20:20" x14ac:dyDescent="0.2">
      <c r="T4066" t="s">
        <v>4101</v>
      </c>
    </row>
    <row r="4067" spans="20:20" x14ac:dyDescent="0.2">
      <c r="T4067" t="s">
        <v>4102</v>
      </c>
    </row>
    <row r="4068" spans="20:20" x14ac:dyDescent="0.2">
      <c r="T4068" t="s">
        <v>472</v>
      </c>
    </row>
    <row r="4069" spans="20:20" x14ac:dyDescent="0.2">
      <c r="T4069" t="s">
        <v>473</v>
      </c>
    </row>
    <row r="4070" spans="20:20" x14ac:dyDescent="0.2">
      <c r="T4070" t="s">
        <v>4103</v>
      </c>
    </row>
    <row r="4071" spans="20:20" x14ac:dyDescent="0.2">
      <c r="T4071" t="s">
        <v>4104</v>
      </c>
    </row>
    <row r="4072" spans="20:20" x14ac:dyDescent="0.2">
      <c r="T4072" t="s">
        <v>4105</v>
      </c>
    </row>
    <row r="4073" spans="20:20" x14ac:dyDescent="0.2">
      <c r="T4073" t="s">
        <v>4106</v>
      </c>
    </row>
    <row r="4074" spans="20:20" x14ac:dyDescent="0.2">
      <c r="T4074" t="s">
        <v>4107</v>
      </c>
    </row>
    <row r="4075" spans="20:20" x14ac:dyDescent="0.2">
      <c r="T4075" t="s">
        <v>496</v>
      </c>
    </row>
    <row r="4076" spans="20:20" x14ac:dyDescent="0.2">
      <c r="T4076" t="s">
        <v>4108</v>
      </c>
    </row>
    <row r="4077" spans="20:20" x14ac:dyDescent="0.2">
      <c r="T4077" t="s">
        <v>4109</v>
      </c>
    </row>
    <row r="4078" spans="20:20" x14ac:dyDescent="0.2">
      <c r="T4078" t="s">
        <v>4110</v>
      </c>
    </row>
    <row r="4079" spans="20:20" x14ac:dyDescent="0.2">
      <c r="T4079" t="s">
        <v>4111</v>
      </c>
    </row>
    <row r="4080" spans="20:20" x14ac:dyDescent="0.2">
      <c r="T4080" t="s">
        <v>4112</v>
      </c>
    </row>
    <row r="4081" spans="20:20" x14ac:dyDescent="0.2">
      <c r="T4081" t="s">
        <v>4113</v>
      </c>
    </row>
    <row r="4082" spans="20:20" x14ac:dyDescent="0.2">
      <c r="T4082" t="s">
        <v>4114</v>
      </c>
    </row>
    <row r="4083" spans="20:20" x14ac:dyDescent="0.2">
      <c r="T4083" t="s">
        <v>4115</v>
      </c>
    </row>
    <row r="4084" spans="20:20" x14ac:dyDescent="0.2">
      <c r="T4084" t="s">
        <v>4116</v>
      </c>
    </row>
    <row r="4085" spans="20:20" x14ac:dyDescent="0.2">
      <c r="T4085" t="s">
        <v>4117</v>
      </c>
    </row>
    <row r="4086" spans="20:20" x14ac:dyDescent="0.2">
      <c r="T4086" t="s">
        <v>4118</v>
      </c>
    </row>
    <row r="4087" spans="20:20" x14ac:dyDescent="0.2">
      <c r="T4087" t="s">
        <v>4119</v>
      </c>
    </row>
    <row r="4088" spans="20:20" x14ac:dyDescent="0.2">
      <c r="T4088" t="s">
        <v>4120</v>
      </c>
    </row>
    <row r="4089" spans="20:20" x14ac:dyDescent="0.2">
      <c r="T4089" t="s">
        <v>4121</v>
      </c>
    </row>
    <row r="4090" spans="20:20" x14ac:dyDescent="0.2">
      <c r="T4090" t="s">
        <v>4122</v>
      </c>
    </row>
    <row r="4091" spans="20:20" x14ac:dyDescent="0.2">
      <c r="T4091" t="s">
        <v>4123</v>
      </c>
    </row>
    <row r="4092" spans="20:20" x14ac:dyDescent="0.2">
      <c r="T4092" t="s">
        <v>4124</v>
      </c>
    </row>
    <row r="4093" spans="20:20" x14ac:dyDescent="0.2">
      <c r="T4093" t="s">
        <v>4125</v>
      </c>
    </row>
    <row r="4094" spans="20:20" x14ac:dyDescent="0.2">
      <c r="T4094" t="s">
        <v>4126</v>
      </c>
    </row>
    <row r="4095" spans="20:20" x14ac:dyDescent="0.2">
      <c r="T4095" t="s">
        <v>3334</v>
      </c>
    </row>
    <row r="4096" spans="20:20" x14ac:dyDescent="0.2">
      <c r="T4096" t="s">
        <v>4127</v>
      </c>
    </row>
    <row r="4097" spans="20:20" x14ac:dyDescent="0.2">
      <c r="T4097" t="s">
        <v>4128</v>
      </c>
    </row>
    <row r="4098" spans="20:20" x14ac:dyDescent="0.2">
      <c r="T4098" t="s">
        <v>4129</v>
      </c>
    </row>
    <row r="4099" spans="20:20" x14ac:dyDescent="0.2">
      <c r="T4099" t="s">
        <v>4130</v>
      </c>
    </row>
    <row r="4100" spans="20:20" x14ac:dyDescent="0.2">
      <c r="T4100" t="s">
        <v>4131</v>
      </c>
    </row>
    <row r="4101" spans="20:20" x14ac:dyDescent="0.2">
      <c r="T4101" t="s">
        <v>4132</v>
      </c>
    </row>
    <row r="4102" spans="20:20" x14ac:dyDescent="0.2">
      <c r="T4102" t="s">
        <v>4133</v>
      </c>
    </row>
    <row r="4103" spans="20:20" x14ac:dyDescent="0.2">
      <c r="T4103" t="s">
        <v>4134</v>
      </c>
    </row>
    <row r="4104" spans="20:20" x14ac:dyDescent="0.2">
      <c r="T4104" t="s">
        <v>4135</v>
      </c>
    </row>
    <row r="4105" spans="20:20" x14ac:dyDescent="0.2">
      <c r="T4105" t="s">
        <v>4136</v>
      </c>
    </row>
    <row r="4106" spans="20:20" x14ac:dyDescent="0.2">
      <c r="T4106" t="s">
        <v>4137</v>
      </c>
    </row>
    <row r="4107" spans="20:20" x14ac:dyDescent="0.2">
      <c r="T4107" t="s">
        <v>512</v>
      </c>
    </row>
    <row r="4108" spans="20:20" x14ac:dyDescent="0.2">
      <c r="T4108" t="s">
        <v>476</v>
      </c>
    </row>
    <row r="4109" spans="20:20" x14ac:dyDescent="0.2">
      <c r="T4109" t="s">
        <v>4138</v>
      </c>
    </row>
    <row r="4110" spans="20:20" x14ac:dyDescent="0.2">
      <c r="T4110" t="s">
        <v>496</v>
      </c>
    </row>
    <row r="4111" spans="20:20" x14ac:dyDescent="0.2">
      <c r="T4111" t="s">
        <v>4139</v>
      </c>
    </row>
    <row r="4112" spans="20:20" x14ac:dyDescent="0.2">
      <c r="T4112" t="s">
        <v>4140</v>
      </c>
    </row>
    <row r="4113" spans="20:20" x14ac:dyDescent="0.2">
      <c r="T4113" t="s">
        <v>4141</v>
      </c>
    </row>
    <row r="4114" spans="20:20" x14ac:dyDescent="0.2">
      <c r="T4114" t="s">
        <v>4142</v>
      </c>
    </row>
    <row r="4115" spans="20:20" x14ac:dyDescent="0.2">
      <c r="T4115" t="s">
        <v>4143</v>
      </c>
    </row>
    <row r="4116" spans="20:20" x14ac:dyDescent="0.2">
      <c r="T4116" t="s">
        <v>4144</v>
      </c>
    </row>
    <row r="4117" spans="20:20" x14ac:dyDescent="0.2">
      <c r="T4117" t="s">
        <v>4145</v>
      </c>
    </row>
    <row r="4118" spans="20:20" x14ac:dyDescent="0.2">
      <c r="T4118" t="s">
        <v>4146</v>
      </c>
    </row>
    <row r="4119" spans="20:20" x14ac:dyDescent="0.2">
      <c r="T4119" t="s">
        <v>432</v>
      </c>
    </row>
    <row r="4120" spans="20:20" x14ac:dyDescent="0.2">
      <c r="T4120" t="s">
        <v>4147</v>
      </c>
    </row>
    <row r="4121" spans="20:20" x14ac:dyDescent="0.2">
      <c r="T4121" t="s">
        <v>4148</v>
      </c>
    </row>
    <row r="4122" spans="20:20" x14ac:dyDescent="0.2">
      <c r="T4122" t="s">
        <v>4149</v>
      </c>
    </row>
    <row r="4123" spans="20:20" x14ac:dyDescent="0.2">
      <c r="T4123" t="s">
        <v>4150</v>
      </c>
    </row>
    <row r="4124" spans="20:20" x14ac:dyDescent="0.2">
      <c r="T4124" t="s">
        <v>4151</v>
      </c>
    </row>
    <row r="4125" spans="20:20" x14ac:dyDescent="0.2">
      <c r="T4125" t="s">
        <v>4152</v>
      </c>
    </row>
    <row r="4126" spans="20:20" x14ac:dyDescent="0.2">
      <c r="T4126" t="s">
        <v>4153</v>
      </c>
    </row>
    <row r="4127" spans="20:20" x14ac:dyDescent="0.2">
      <c r="T4127" t="s">
        <v>4154</v>
      </c>
    </row>
    <row r="4128" spans="20:20" x14ac:dyDescent="0.2">
      <c r="T4128" t="s">
        <v>3368</v>
      </c>
    </row>
    <row r="4129" spans="20:20" x14ac:dyDescent="0.2">
      <c r="T4129" t="s">
        <v>4155</v>
      </c>
    </row>
    <row r="4130" spans="20:20" x14ac:dyDescent="0.2">
      <c r="T4130" t="s">
        <v>476</v>
      </c>
    </row>
    <row r="4131" spans="20:20" x14ac:dyDescent="0.2">
      <c r="T4131" t="s">
        <v>4156</v>
      </c>
    </row>
    <row r="4132" spans="20:20" x14ac:dyDescent="0.2">
      <c r="T4132" t="s">
        <v>4157</v>
      </c>
    </row>
    <row r="4133" spans="20:20" x14ac:dyDescent="0.2">
      <c r="T4133" t="s">
        <v>4158</v>
      </c>
    </row>
    <row r="4134" spans="20:20" x14ac:dyDescent="0.2">
      <c r="T4134" t="s">
        <v>4159</v>
      </c>
    </row>
    <row r="4135" spans="20:20" x14ac:dyDescent="0.2">
      <c r="T4135" t="s">
        <v>4160</v>
      </c>
    </row>
    <row r="4136" spans="20:20" x14ac:dyDescent="0.2">
      <c r="T4136" t="s">
        <v>4161</v>
      </c>
    </row>
    <row r="4137" spans="20:20" x14ac:dyDescent="0.2">
      <c r="T4137" t="s">
        <v>4162</v>
      </c>
    </row>
    <row r="4138" spans="20:20" x14ac:dyDescent="0.2">
      <c r="T4138" t="s">
        <v>4163</v>
      </c>
    </row>
    <row r="4139" spans="20:20" x14ac:dyDescent="0.2">
      <c r="T4139" t="s">
        <v>4164</v>
      </c>
    </row>
    <row r="4140" spans="20:20" x14ac:dyDescent="0.2">
      <c r="T4140" t="s">
        <v>4165</v>
      </c>
    </row>
    <row r="4141" spans="20:20" x14ac:dyDescent="0.2">
      <c r="T4141" t="s">
        <v>4166</v>
      </c>
    </row>
    <row r="4142" spans="20:20" x14ac:dyDescent="0.2">
      <c r="T4142" t="s">
        <v>472</v>
      </c>
    </row>
    <row r="4143" spans="20:20" x14ac:dyDescent="0.2">
      <c r="T4143" t="s">
        <v>473</v>
      </c>
    </row>
    <row r="4144" spans="20:20" x14ac:dyDescent="0.2">
      <c r="T4144" t="s">
        <v>638</v>
      </c>
    </row>
    <row r="4145" spans="20:20" x14ac:dyDescent="0.2">
      <c r="T4145" t="s">
        <v>4167</v>
      </c>
    </row>
    <row r="4146" spans="20:20" x14ac:dyDescent="0.2">
      <c r="T4146" t="s">
        <v>4168</v>
      </c>
    </row>
    <row r="4147" spans="20:20" x14ac:dyDescent="0.2">
      <c r="T4147" t="s">
        <v>4169</v>
      </c>
    </row>
    <row r="4148" spans="20:20" x14ac:dyDescent="0.2">
      <c r="T4148" t="s">
        <v>4170</v>
      </c>
    </row>
    <row r="4149" spans="20:20" x14ac:dyDescent="0.2">
      <c r="T4149" t="s">
        <v>4171</v>
      </c>
    </row>
    <row r="4150" spans="20:20" x14ac:dyDescent="0.2">
      <c r="T4150" t="s">
        <v>4172</v>
      </c>
    </row>
    <row r="4151" spans="20:20" x14ac:dyDescent="0.2">
      <c r="T4151" t="s">
        <v>4173</v>
      </c>
    </row>
    <row r="4152" spans="20:20" x14ac:dyDescent="0.2">
      <c r="T4152" t="s">
        <v>4174</v>
      </c>
    </row>
    <row r="4153" spans="20:20" x14ac:dyDescent="0.2">
      <c r="T4153" t="s">
        <v>4175</v>
      </c>
    </row>
    <row r="4154" spans="20:20" x14ac:dyDescent="0.2">
      <c r="T4154" t="s">
        <v>4176</v>
      </c>
    </row>
    <row r="4155" spans="20:20" x14ac:dyDescent="0.2">
      <c r="T4155" t="s">
        <v>4177</v>
      </c>
    </row>
    <row r="4156" spans="20:20" x14ac:dyDescent="0.2">
      <c r="T4156" t="s">
        <v>4178</v>
      </c>
    </row>
    <row r="4157" spans="20:20" x14ac:dyDescent="0.2">
      <c r="T4157" t="s">
        <v>4179</v>
      </c>
    </row>
    <row r="4158" spans="20:20" x14ac:dyDescent="0.2">
      <c r="T4158" t="s">
        <v>4180</v>
      </c>
    </row>
    <row r="4159" spans="20:20" x14ac:dyDescent="0.2">
      <c r="T4159" t="s">
        <v>4181</v>
      </c>
    </row>
    <row r="4160" spans="20:20" x14ac:dyDescent="0.2">
      <c r="T4160" t="s">
        <v>4182</v>
      </c>
    </row>
    <row r="4161" spans="20:20" x14ac:dyDescent="0.2">
      <c r="T4161" t="s">
        <v>4183</v>
      </c>
    </row>
    <row r="4162" spans="20:20" x14ac:dyDescent="0.2">
      <c r="T4162" t="s">
        <v>4184</v>
      </c>
    </row>
    <row r="4163" spans="20:20" x14ac:dyDescent="0.2">
      <c r="T4163" t="s">
        <v>4185</v>
      </c>
    </row>
    <row r="4164" spans="20:20" x14ac:dyDescent="0.2">
      <c r="T4164" t="s">
        <v>4186</v>
      </c>
    </row>
    <row r="4165" spans="20:20" x14ac:dyDescent="0.2">
      <c r="T4165" t="s">
        <v>4187</v>
      </c>
    </row>
    <row r="4166" spans="20:20" x14ac:dyDescent="0.2">
      <c r="T4166" t="s">
        <v>4188</v>
      </c>
    </row>
    <row r="4167" spans="20:20" x14ac:dyDescent="0.2">
      <c r="T4167" t="s">
        <v>4189</v>
      </c>
    </row>
    <row r="4168" spans="20:20" x14ac:dyDescent="0.2">
      <c r="T4168" t="s">
        <v>4190</v>
      </c>
    </row>
    <row r="4169" spans="20:20" x14ac:dyDescent="0.2">
      <c r="T4169" t="s">
        <v>4191</v>
      </c>
    </row>
    <row r="4170" spans="20:20" x14ac:dyDescent="0.2">
      <c r="T4170" t="s">
        <v>4192</v>
      </c>
    </row>
    <row r="4171" spans="20:20" x14ac:dyDescent="0.2">
      <c r="T4171" t="s">
        <v>4193</v>
      </c>
    </row>
    <row r="4172" spans="20:20" x14ac:dyDescent="0.2">
      <c r="T4172" t="s">
        <v>4194</v>
      </c>
    </row>
    <row r="4173" spans="20:20" x14ac:dyDescent="0.2">
      <c r="T4173" t="s">
        <v>4195</v>
      </c>
    </row>
    <row r="4174" spans="20:20" x14ac:dyDescent="0.2">
      <c r="T4174" t="s">
        <v>4196</v>
      </c>
    </row>
    <row r="4175" spans="20:20" x14ac:dyDescent="0.2">
      <c r="T4175" t="s">
        <v>4197</v>
      </c>
    </row>
    <row r="4176" spans="20:20" x14ac:dyDescent="0.2">
      <c r="T4176" t="s">
        <v>4198</v>
      </c>
    </row>
    <row r="4177" spans="20:20" x14ac:dyDescent="0.2">
      <c r="T4177" t="s">
        <v>4199</v>
      </c>
    </row>
    <row r="4178" spans="20:20" x14ac:dyDescent="0.2">
      <c r="T4178" t="s">
        <v>4200</v>
      </c>
    </row>
    <row r="4179" spans="20:20" x14ac:dyDescent="0.2">
      <c r="T4179" t="s">
        <v>4201</v>
      </c>
    </row>
    <row r="4180" spans="20:20" x14ac:dyDescent="0.2">
      <c r="T4180" t="s">
        <v>4202</v>
      </c>
    </row>
    <row r="4181" spans="20:20" x14ac:dyDescent="0.2">
      <c r="T4181" t="s">
        <v>4203</v>
      </c>
    </row>
    <row r="4182" spans="20:20" x14ac:dyDescent="0.2">
      <c r="T4182" t="s">
        <v>4204</v>
      </c>
    </row>
    <row r="4183" spans="20:20" x14ac:dyDescent="0.2">
      <c r="T4183" t="s">
        <v>4205</v>
      </c>
    </row>
    <row r="4184" spans="20:20" x14ac:dyDescent="0.2">
      <c r="T4184" t="s">
        <v>4206</v>
      </c>
    </row>
    <row r="4185" spans="20:20" x14ac:dyDescent="0.2">
      <c r="T4185" t="s">
        <v>4207</v>
      </c>
    </row>
    <row r="4186" spans="20:20" x14ac:dyDescent="0.2">
      <c r="T4186" t="s">
        <v>4208</v>
      </c>
    </row>
    <row r="4187" spans="20:20" x14ac:dyDescent="0.2">
      <c r="T4187" t="s">
        <v>3334</v>
      </c>
    </row>
    <row r="4188" spans="20:20" x14ac:dyDescent="0.2">
      <c r="T4188" t="s">
        <v>4171</v>
      </c>
    </row>
    <row r="4189" spans="20:20" x14ac:dyDescent="0.2">
      <c r="T4189" t="s">
        <v>4209</v>
      </c>
    </row>
    <row r="4190" spans="20:20" x14ac:dyDescent="0.2">
      <c r="T4190" t="s">
        <v>4210</v>
      </c>
    </row>
    <row r="4191" spans="20:20" x14ac:dyDescent="0.2">
      <c r="T4191" t="s">
        <v>3334</v>
      </c>
    </row>
    <row r="4192" spans="20:20" x14ac:dyDescent="0.2">
      <c r="T4192" t="s">
        <v>4211</v>
      </c>
    </row>
    <row r="4193" spans="20:20" x14ac:dyDescent="0.2">
      <c r="T4193" t="s">
        <v>4212</v>
      </c>
    </row>
    <row r="4194" spans="20:20" x14ac:dyDescent="0.2">
      <c r="T4194" t="s">
        <v>4213</v>
      </c>
    </row>
    <row r="4195" spans="20:20" x14ac:dyDescent="0.2">
      <c r="T4195" t="s">
        <v>4214</v>
      </c>
    </row>
    <row r="4196" spans="20:20" x14ac:dyDescent="0.2">
      <c r="T4196" t="s">
        <v>4215</v>
      </c>
    </row>
    <row r="4197" spans="20:20" x14ac:dyDescent="0.2">
      <c r="T4197" t="s">
        <v>3334</v>
      </c>
    </row>
    <row r="4198" spans="20:20" x14ac:dyDescent="0.2">
      <c r="T4198" t="s">
        <v>4216</v>
      </c>
    </row>
    <row r="4199" spans="20:20" x14ac:dyDescent="0.2">
      <c r="T4199" t="s">
        <v>4217</v>
      </c>
    </row>
    <row r="4200" spans="20:20" x14ac:dyDescent="0.2">
      <c r="T4200" t="s">
        <v>4218</v>
      </c>
    </row>
    <row r="4201" spans="20:20" x14ac:dyDescent="0.2">
      <c r="T4201" t="s">
        <v>4219</v>
      </c>
    </row>
    <row r="4202" spans="20:20" x14ac:dyDescent="0.2">
      <c r="T4202" t="s">
        <v>4220</v>
      </c>
    </row>
    <row r="4203" spans="20:20" x14ac:dyDescent="0.2">
      <c r="T4203" t="s">
        <v>4221</v>
      </c>
    </row>
    <row r="4204" spans="20:20" x14ac:dyDescent="0.2">
      <c r="T4204" t="s">
        <v>4222</v>
      </c>
    </row>
    <row r="4205" spans="20:20" x14ac:dyDescent="0.2">
      <c r="T4205" t="s">
        <v>4223</v>
      </c>
    </row>
    <row r="4206" spans="20:20" x14ac:dyDescent="0.2">
      <c r="T4206" t="s">
        <v>4224</v>
      </c>
    </row>
    <row r="4207" spans="20:20" x14ac:dyDescent="0.2">
      <c r="T4207" t="s">
        <v>4225</v>
      </c>
    </row>
    <row r="4208" spans="20:20" x14ac:dyDescent="0.2">
      <c r="T4208" t="s">
        <v>4226</v>
      </c>
    </row>
    <row r="4209" spans="20:20" x14ac:dyDescent="0.2">
      <c r="T4209" t="s">
        <v>4227</v>
      </c>
    </row>
    <row r="4210" spans="20:20" x14ac:dyDescent="0.2">
      <c r="T4210" t="s">
        <v>4228</v>
      </c>
    </row>
    <row r="4211" spans="20:20" x14ac:dyDescent="0.2">
      <c r="T4211" t="s">
        <v>4229</v>
      </c>
    </row>
    <row r="4212" spans="20:20" x14ac:dyDescent="0.2">
      <c r="T4212" t="s">
        <v>4230</v>
      </c>
    </row>
    <row r="4213" spans="20:20" x14ac:dyDescent="0.2">
      <c r="T4213" t="s">
        <v>4231</v>
      </c>
    </row>
    <row r="4214" spans="20:20" x14ac:dyDescent="0.2">
      <c r="T4214" t="s">
        <v>4232</v>
      </c>
    </row>
    <row r="4215" spans="20:20" x14ac:dyDescent="0.2">
      <c r="T4215" t="s">
        <v>4233</v>
      </c>
    </row>
    <row r="4216" spans="20:20" x14ac:dyDescent="0.2">
      <c r="T4216" t="s">
        <v>4234</v>
      </c>
    </row>
    <row r="4217" spans="20:20" x14ac:dyDescent="0.2">
      <c r="T4217" t="s">
        <v>4235</v>
      </c>
    </row>
    <row r="4218" spans="20:20" x14ac:dyDescent="0.2">
      <c r="T4218" t="s">
        <v>4236</v>
      </c>
    </row>
    <row r="4219" spans="20:20" x14ac:dyDescent="0.2">
      <c r="T4219" t="s">
        <v>4237</v>
      </c>
    </row>
    <row r="4220" spans="20:20" x14ac:dyDescent="0.2">
      <c r="T4220" t="s">
        <v>4238</v>
      </c>
    </row>
    <row r="4221" spans="20:20" x14ac:dyDescent="0.2">
      <c r="T4221" t="s">
        <v>4239</v>
      </c>
    </row>
    <row r="4222" spans="20:20" x14ac:dyDescent="0.2">
      <c r="T4222" t="s">
        <v>4240</v>
      </c>
    </row>
    <row r="4223" spans="20:20" x14ac:dyDescent="0.2">
      <c r="T4223" t="s">
        <v>4241</v>
      </c>
    </row>
    <row r="4224" spans="20:20" x14ac:dyDescent="0.2">
      <c r="T4224" t="s">
        <v>4242</v>
      </c>
    </row>
    <row r="4225" spans="20:20" x14ac:dyDescent="0.2">
      <c r="T4225" t="s">
        <v>4243</v>
      </c>
    </row>
    <row r="4226" spans="20:20" x14ac:dyDescent="0.2">
      <c r="T4226" t="s">
        <v>4244</v>
      </c>
    </row>
    <row r="4227" spans="20:20" x14ac:dyDescent="0.2">
      <c r="T4227" t="s">
        <v>4245</v>
      </c>
    </row>
    <row r="4228" spans="20:20" x14ac:dyDescent="0.2">
      <c r="T4228" t="s">
        <v>4246</v>
      </c>
    </row>
    <row r="4229" spans="20:20" x14ac:dyDescent="0.2">
      <c r="T4229" t="s">
        <v>4247</v>
      </c>
    </row>
    <row r="4230" spans="20:20" x14ac:dyDescent="0.2">
      <c r="T4230" t="s">
        <v>4248</v>
      </c>
    </row>
    <row r="4231" spans="20:20" x14ac:dyDescent="0.2">
      <c r="T4231" t="s">
        <v>4249</v>
      </c>
    </row>
    <row r="4232" spans="20:20" x14ac:dyDescent="0.2">
      <c r="T4232" t="s">
        <v>4250</v>
      </c>
    </row>
    <row r="4233" spans="20:20" x14ac:dyDescent="0.2">
      <c r="T4233" t="s">
        <v>4251</v>
      </c>
    </row>
    <row r="4234" spans="20:20" x14ac:dyDescent="0.2">
      <c r="T4234" t="s">
        <v>4252</v>
      </c>
    </row>
    <row r="4235" spans="20:20" x14ac:dyDescent="0.2">
      <c r="T4235" t="s">
        <v>4243</v>
      </c>
    </row>
    <row r="4236" spans="20:20" x14ac:dyDescent="0.2">
      <c r="T4236" t="s">
        <v>638</v>
      </c>
    </row>
    <row r="4237" spans="20:20" x14ac:dyDescent="0.2">
      <c r="T4237" t="s">
        <v>472</v>
      </c>
    </row>
    <row r="4238" spans="20:20" x14ac:dyDescent="0.2">
      <c r="T4238" t="s">
        <v>473</v>
      </c>
    </row>
    <row r="4239" spans="20:20" x14ac:dyDescent="0.2">
      <c r="T4239" t="s">
        <v>4253</v>
      </c>
    </row>
    <row r="4240" spans="20:20" x14ac:dyDescent="0.2">
      <c r="T4240" t="s">
        <v>4254</v>
      </c>
    </row>
    <row r="4241" spans="20:20" x14ac:dyDescent="0.2">
      <c r="T4241" t="s">
        <v>4255</v>
      </c>
    </row>
    <row r="4242" spans="20:20" x14ac:dyDescent="0.2">
      <c r="T4242" t="s">
        <v>4256</v>
      </c>
    </row>
    <row r="4243" spans="20:20" x14ac:dyDescent="0.2">
      <c r="T4243" t="s">
        <v>4257</v>
      </c>
    </row>
    <row r="4244" spans="20:20" x14ac:dyDescent="0.2">
      <c r="T4244" t="s">
        <v>4258</v>
      </c>
    </row>
    <row r="4245" spans="20:20" x14ac:dyDescent="0.2">
      <c r="T4245" t="s">
        <v>4259</v>
      </c>
    </row>
    <row r="4246" spans="20:20" x14ac:dyDescent="0.2">
      <c r="T4246" t="s">
        <v>4260</v>
      </c>
    </row>
    <row r="4247" spans="20:20" x14ac:dyDescent="0.2">
      <c r="T4247" t="s">
        <v>4261</v>
      </c>
    </row>
    <row r="4248" spans="20:20" x14ac:dyDescent="0.2">
      <c r="T4248" t="s">
        <v>4262</v>
      </c>
    </row>
    <row r="4249" spans="20:20" x14ac:dyDescent="0.2">
      <c r="T4249" t="s">
        <v>4263</v>
      </c>
    </row>
    <row r="4250" spans="20:20" x14ac:dyDescent="0.2">
      <c r="T4250" t="s">
        <v>4264</v>
      </c>
    </row>
    <row r="4251" spans="20:20" x14ac:dyDescent="0.2">
      <c r="T4251" t="s">
        <v>4265</v>
      </c>
    </row>
    <row r="4252" spans="20:20" x14ac:dyDescent="0.2">
      <c r="T4252" t="s">
        <v>4266</v>
      </c>
    </row>
    <row r="4253" spans="20:20" x14ac:dyDescent="0.2">
      <c r="T4253" t="s">
        <v>4267</v>
      </c>
    </row>
    <row r="4254" spans="20:20" x14ac:dyDescent="0.2">
      <c r="T4254" t="s">
        <v>4268</v>
      </c>
    </row>
    <row r="4255" spans="20:20" x14ac:dyDescent="0.2">
      <c r="T4255" t="s">
        <v>4269</v>
      </c>
    </row>
    <row r="4256" spans="20:20" x14ac:dyDescent="0.2">
      <c r="T4256" t="s">
        <v>4270</v>
      </c>
    </row>
    <row r="4257" spans="20:20" x14ac:dyDescent="0.2">
      <c r="T4257" t="s">
        <v>4271</v>
      </c>
    </row>
    <row r="4258" spans="20:20" x14ac:dyDescent="0.2">
      <c r="T4258" t="s">
        <v>4272</v>
      </c>
    </row>
    <row r="4259" spans="20:20" x14ac:dyDescent="0.2">
      <c r="T4259" t="s">
        <v>4273</v>
      </c>
    </row>
    <row r="4260" spans="20:20" x14ac:dyDescent="0.2">
      <c r="T4260" t="s">
        <v>4274</v>
      </c>
    </row>
    <row r="4261" spans="20:20" x14ac:dyDescent="0.2">
      <c r="T4261" t="s">
        <v>4275</v>
      </c>
    </row>
    <row r="4262" spans="20:20" x14ac:dyDescent="0.2">
      <c r="T4262" t="s">
        <v>4276</v>
      </c>
    </row>
    <row r="4263" spans="20:20" x14ac:dyDescent="0.2">
      <c r="T4263" t="s">
        <v>4277</v>
      </c>
    </row>
    <row r="4264" spans="20:20" x14ac:dyDescent="0.2">
      <c r="T4264" t="s">
        <v>4278</v>
      </c>
    </row>
    <row r="4265" spans="20:20" x14ac:dyDescent="0.2">
      <c r="T4265" t="s">
        <v>4279</v>
      </c>
    </row>
    <row r="4266" spans="20:20" x14ac:dyDescent="0.2">
      <c r="T4266" t="s">
        <v>472</v>
      </c>
    </row>
    <row r="4267" spans="20:20" x14ac:dyDescent="0.2">
      <c r="T4267" t="s">
        <v>473</v>
      </c>
    </row>
    <row r="4268" spans="20:20" x14ac:dyDescent="0.2">
      <c r="T4268" t="s">
        <v>3334</v>
      </c>
    </row>
    <row r="4269" spans="20:20" x14ac:dyDescent="0.2">
      <c r="T4269" t="s">
        <v>4280</v>
      </c>
    </row>
    <row r="4270" spans="20:20" x14ac:dyDescent="0.2">
      <c r="T4270" t="s">
        <v>4281</v>
      </c>
    </row>
    <row r="4271" spans="20:20" x14ac:dyDescent="0.2">
      <c r="T4271" t="s">
        <v>4282</v>
      </c>
    </row>
    <row r="4272" spans="20:20" x14ac:dyDescent="0.2">
      <c r="T4272" t="s">
        <v>4283</v>
      </c>
    </row>
    <row r="4273" spans="20:20" x14ac:dyDescent="0.2">
      <c r="T4273" t="s">
        <v>4284</v>
      </c>
    </row>
    <row r="4274" spans="20:20" x14ac:dyDescent="0.2">
      <c r="T4274" t="s">
        <v>4285</v>
      </c>
    </row>
    <row r="4275" spans="20:20" x14ac:dyDescent="0.2">
      <c r="T4275" t="s">
        <v>4286</v>
      </c>
    </row>
    <row r="4276" spans="20:20" x14ac:dyDescent="0.2">
      <c r="T4276" t="s">
        <v>4287</v>
      </c>
    </row>
    <row r="4277" spans="20:20" x14ac:dyDescent="0.2">
      <c r="T4277" t="s">
        <v>4288</v>
      </c>
    </row>
    <row r="4278" spans="20:20" x14ac:dyDescent="0.2">
      <c r="T4278" t="s">
        <v>4289</v>
      </c>
    </row>
    <row r="4279" spans="20:20" x14ac:dyDescent="0.2">
      <c r="T4279" t="s">
        <v>4290</v>
      </c>
    </row>
    <row r="4280" spans="20:20" x14ac:dyDescent="0.2">
      <c r="T4280" t="s">
        <v>4291</v>
      </c>
    </row>
    <row r="4281" spans="20:20" x14ac:dyDescent="0.2">
      <c r="T4281" t="s">
        <v>4292</v>
      </c>
    </row>
    <row r="4282" spans="20:20" x14ac:dyDescent="0.2">
      <c r="T4282" t="s">
        <v>4293</v>
      </c>
    </row>
    <row r="4283" spans="20:20" x14ac:dyDescent="0.2">
      <c r="T4283" t="s">
        <v>4294</v>
      </c>
    </row>
    <row r="4284" spans="20:20" x14ac:dyDescent="0.2">
      <c r="T4284" t="s">
        <v>4295</v>
      </c>
    </row>
    <row r="4285" spans="20:20" x14ac:dyDescent="0.2">
      <c r="T4285" t="s">
        <v>4296</v>
      </c>
    </row>
    <row r="4286" spans="20:20" x14ac:dyDescent="0.2">
      <c r="T4286" t="s">
        <v>4297</v>
      </c>
    </row>
    <row r="4287" spans="20:20" x14ac:dyDescent="0.2">
      <c r="T4287" t="s">
        <v>4298</v>
      </c>
    </row>
    <row r="4288" spans="20:20" x14ac:dyDescent="0.2">
      <c r="T4288" t="s">
        <v>4299</v>
      </c>
    </row>
    <row r="4289" spans="20:20" x14ac:dyDescent="0.2">
      <c r="T4289" t="s">
        <v>4300</v>
      </c>
    </row>
    <row r="4290" spans="20:20" x14ac:dyDescent="0.2">
      <c r="T4290" t="s">
        <v>4301</v>
      </c>
    </row>
    <row r="4291" spans="20:20" x14ac:dyDescent="0.2">
      <c r="T4291" t="s">
        <v>4302</v>
      </c>
    </row>
    <row r="4292" spans="20:20" x14ac:dyDescent="0.2">
      <c r="T4292" t="s">
        <v>4303</v>
      </c>
    </row>
    <row r="4293" spans="20:20" x14ac:dyDescent="0.2">
      <c r="T4293" t="s">
        <v>4304</v>
      </c>
    </row>
    <row r="4294" spans="20:20" x14ac:dyDescent="0.2">
      <c r="T4294" t="s">
        <v>4305</v>
      </c>
    </row>
    <row r="4295" spans="20:20" x14ac:dyDescent="0.2">
      <c r="T4295" t="s">
        <v>4306</v>
      </c>
    </row>
    <row r="4296" spans="20:20" x14ac:dyDescent="0.2">
      <c r="T4296" t="s">
        <v>4307</v>
      </c>
    </row>
    <row r="4297" spans="20:20" x14ac:dyDescent="0.2">
      <c r="T4297" t="s">
        <v>4308</v>
      </c>
    </row>
    <row r="4298" spans="20:20" x14ac:dyDescent="0.2">
      <c r="T4298" t="s">
        <v>4309</v>
      </c>
    </row>
    <row r="4299" spans="20:20" x14ac:dyDescent="0.2">
      <c r="T4299" t="s">
        <v>4310</v>
      </c>
    </row>
    <row r="4300" spans="20:20" x14ac:dyDescent="0.2">
      <c r="T4300" t="s">
        <v>4311</v>
      </c>
    </row>
    <row r="4301" spans="20:20" x14ac:dyDescent="0.2">
      <c r="T4301" t="s">
        <v>4312</v>
      </c>
    </row>
    <row r="4302" spans="20:20" x14ac:dyDescent="0.2">
      <c r="T4302" t="s">
        <v>4313</v>
      </c>
    </row>
    <row r="4303" spans="20:20" x14ac:dyDescent="0.2">
      <c r="T4303" t="s">
        <v>4314</v>
      </c>
    </row>
    <row r="4304" spans="20:20" x14ac:dyDescent="0.2">
      <c r="T4304" t="s">
        <v>4315</v>
      </c>
    </row>
    <row r="4305" spans="20:20" x14ac:dyDescent="0.2">
      <c r="T4305" t="s">
        <v>4316</v>
      </c>
    </row>
    <row r="4306" spans="20:20" x14ac:dyDescent="0.2">
      <c r="T4306" t="s">
        <v>4317</v>
      </c>
    </row>
    <row r="4307" spans="20:20" x14ac:dyDescent="0.2">
      <c r="T4307" t="s">
        <v>4318</v>
      </c>
    </row>
    <row r="4308" spans="20:20" x14ac:dyDescent="0.2">
      <c r="T4308" t="s">
        <v>4319</v>
      </c>
    </row>
    <row r="4309" spans="20:20" x14ac:dyDescent="0.2">
      <c r="T4309" t="s">
        <v>4320</v>
      </c>
    </row>
    <row r="4310" spans="20:20" x14ac:dyDescent="0.2">
      <c r="T4310" t="s">
        <v>4321</v>
      </c>
    </row>
    <row r="4311" spans="20:20" x14ac:dyDescent="0.2">
      <c r="T4311" t="s">
        <v>4322</v>
      </c>
    </row>
    <row r="4312" spans="20:20" x14ac:dyDescent="0.2">
      <c r="T4312" t="s">
        <v>4323</v>
      </c>
    </row>
    <row r="4313" spans="20:20" x14ac:dyDescent="0.2">
      <c r="T4313" t="s">
        <v>4324</v>
      </c>
    </row>
    <row r="4314" spans="20:20" x14ac:dyDescent="0.2">
      <c r="T4314" t="s">
        <v>4325</v>
      </c>
    </row>
    <row r="4315" spans="20:20" x14ac:dyDescent="0.2">
      <c r="T4315" t="s">
        <v>4326</v>
      </c>
    </row>
    <row r="4316" spans="20:20" x14ac:dyDescent="0.2">
      <c r="T4316" t="s">
        <v>4327</v>
      </c>
    </row>
    <row r="4317" spans="20:20" x14ac:dyDescent="0.2">
      <c r="T4317" t="s">
        <v>4328</v>
      </c>
    </row>
    <row r="4318" spans="20:20" x14ac:dyDescent="0.2">
      <c r="T4318" t="s">
        <v>4329</v>
      </c>
    </row>
    <row r="4319" spans="20:20" x14ac:dyDescent="0.2">
      <c r="T4319" t="s">
        <v>4330</v>
      </c>
    </row>
    <row r="4320" spans="20:20" x14ac:dyDescent="0.2">
      <c r="T4320" t="s">
        <v>4331</v>
      </c>
    </row>
    <row r="4321" spans="20:20" x14ac:dyDescent="0.2">
      <c r="T4321" t="s">
        <v>4332</v>
      </c>
    </row>
    <row r="4322" spans="20:20" x14ac:dyDescent="0.2">
      <c r="T4322" t="s">
        <v>4333</v>
      </c>
    </row>
    <row r="4323" spans="20:20" x14ac:dyDescent="0.2">
      <c r="T4323" t="s">
        <v>4334</v>
      </c>
    </row>
    <row r="4324" spans="20:20" x14ac:dyDescent="0.2">
      <c r="T4324" t="s">
        <v>4335</v>
      </c>
    </row>
    <row r="4325" spans="20:20" x14ac:dyDescent="0.2">
      <c r="T4325" t="s">
        <v>4336</v>
      </c>
    </row>
    <row r="4326" spans="20:20" x14ac:dyDescent="0.2">
      <c r="T4326" t="s">
        <v>4337</v>
      </c>
    </row>
    <row r="4327" spans="20:20" x14ac:dyDescent="0.2">
      <c r="T4327" t="s">
        <v>4338</v>
      </c>
    </row>
    <row r="4328" spans="20:20" x14ac:dyDescent="0.2">
      <c r="T4328" t="s">
        <v>4339</v>
      </c>
    </row>
    <row r="4329" spans="20:20" x14ac:dyDescent="0.2">
      <c r="T4329" t="s">
        <v>4340</v>
      </c>
    </row>
    <row r="4330" spans="20:20" x14ac:dyDescent="0.2">
      <c r="T4330" t="s">
        <v>4341</v>
      </c>
    </row>
    <row r="4331" spans="20:20" x14ac:dyDescent="0.2">
      <c r="T4331" t="s">
        <v>4342</v>
      </c>
    </row>
    <row r="4332" spans="20:20" x14ac:dyDescent="0.2">
      <c r="T4332" t="s">
        <v>4343</v>
      </c>
    </row>
    <row r="4333" spans="20:20" x14ac:dyDescent="0.2">
      <c r="T4333" t="s">
        <v>4344</v>
      </c>
    </row>
    <row r="4334" spans="20:20" x14ac:dyDescent="0.2">
      <c r="T4334" t="s">
        <v>4345</v>
      </c>
    </row>
    <row r="4335" spans="20:20" x14ac:dyDescent="0.2">
      <c r="T4335" t="s">
        <v>4346</v>
      </c>
    </row>
    <row r="4336" spans="20:20" x14ac:dyDescent="0.2">
      <c r="T4336" t="s">
        <v>4347</v>
      </c>
    </row>
    <row r="4337" spans="20:20" x14ac:dyDescent="0.2">
      <c r="T4337" t="s">
        <v>4348</v>
      </c>
    </row>
    <row r="4338" spans="20:20" x14ac:dyDescent="0.2">
      <c r="T4338" t="s">
        <v>4349</v>
      </c>
    </row>
    <row r="4339" spans="20:20" x14ac:dyDescent="0.2">
      <c r="T4339" t="s">
        <v>4350</v>
      </c>
    </row>
    <row r="4340" spans="20:20" x14ac:dyDescent="0.2">
      <c r="T4340" t="s">
        <v>4351</v>
      </c>
    </row>
    <row r="4341" spans="20:20" x14ac:dyDescent="0.2">
      <c r="T4341" t="s">
        <v>4352</v>
      </c>
    </row>
    <row r="4342" spans="20:20" x14ac:dyDescent="0.2">
      <c r="T4342" t="s">
        <v>4353</v>
      </c>
    </row>
    <row r="4343" spans="20:20" x14ac:dyDescent="0.2">
      <c r="T4343" t="s">
        <v>4354</v>
      </c>
    </row>
    <row r="4344" spans="20:20" x14ac:dyDescent="0.2">
      <c r="T4344" t="s">
        <v>4355</v>
      </c>
    </row>
    <row r="4345" spans="20:20" x14ac:dyDescent="0.2">
      <c r="T4345" t="s">
        <v>4356</v>
      </c>
    </row>
    <row r="4346" spans="20:20" x14ac:dyDescent="0.2">
      <c r="T4346" t="s">
        <v>4357</v>
      </c>
    </row>
    <row r="4347" spans="20:20" x14ac:dyDescent="0.2">
      <c r="T4347" t="s">
        <v>4358</v>
      </c>
    </row>
    <row r="4348" spans="20:20" x14ac:dyDescent="0.2">
      <c r="T4348" t="s">
        <v>4359</v>
      </c>
    </row>
    <row r="4349" spans="20:20" x14ac:dyDescent="0.2">
      <c r="T4349" t="s">
        <v>4360</v>
      </c>
    </row>
    <row r="4350" spans="20:20" x14ac:dyDescent="0.2">
      <c r="T4350" t="s">
        <v>4361</v>
      </c>
    </row>
    <row r="4351" spans="20:20" x14ac:dyDescent="0.2">
      <c r="T4351" t="s">
        <v>427</v>
      </c>
    </row>
    <row r="4352" spans="20:20" x14ac:dyDescent="0.2">
      <c r="T4352" t="s">
        <v>4362</v>
      </c>
    </row>
    <row r="4353" spans="20:20" x14ac:dyDescent="0.2">
      <c r="T4353" t="s">
        <v>4363</v>
      </c>
    </row>
    <row r="4354" spans="20:20" x14ac:dyDescent="0.2">
      <c r="T4354" t="s">
        <v>4364</v>
      </c>
    </row>
    <row r="4355" spans="20:20" x14ac:dyDescent="0.2">
      <c r="T4355" t="s">
        <v>4365</v>
      </c>
    </row>
    <row r="4356" spans="20:20" x14ac:dyDescent="0.2">
      <c r="T4356" t="s">
        <v>4366</v>
      </c>
    </row>
    <row r="4357" spans="20:20" x14ac:dyDescent="0.2">
      <c r="T4357" t="s">
        <v>4279</v>
      </c>
    </row>
    <row r="4358" spans="20:20" x14ac:dyDescent="0.2">
      <c r="T4358" t="s">
        <v>4367</v>
      </c>
    </row>
    <row r="4359" spans="20:20" x14ac:dyDescent="0.2">
      <c r="T4359" t="s">
        <v>4368</v>
      </c>
    </row>
    <row r="4360" spans="20:20" x14ac:dyDescent="0.2">
      <c r="T4360" t="s">
        <v>4369</v>
      </c>
    </row>
    <row r="4361" spans="20:20" x14ac:dyDescent="0.2">
      <c r="T4361" t="s">
        <v>4370</v>
      </c>
    </row>
    <row r="4362" spans="20:20" x14ac:dyDescent="0.2">
      <c r="T4362" t="s">
        <v>4371</v>
      </c>
    </row>
    <row r="4363" spans="20:20" x14ac:dyDescent="0.2">
      <c r="T4363" t="s">
        <v>4372</v>
      </c>
    </row>
    <row r="4364" spans="20:20" x14ac:dyDescent="0.2">
      <c r="T4364" t="s">
        <v>4373</v>
      </c>
    </row>
    <row r="4365" spans="20:20" x14ac:dyDescent="0.2">
      <c r="T4365" t="s">
        <v>4374</v>
      </c>
    </row>
    <row r="4366" spans="20:20" x14ac:dyDescent="0.2">
      <c r="T4366" t="s">
        <v>4375</v>
      </c>
    </row>
    <row r="4367" spans="20:20" x14ac:dyDescent="0.2">
      <c r="T4367" t="s">
        <v>4376</v>
      </c>
    </row>
    <row r="4368" spans="20:20" x14ac:dyDescent="0.2">
      <c r="T4368" t="s">
        <v>4377</v>
      </c>
    </row>
    <row r="4369" spans="20:20" x14ac:dyDescent="0.2">
      <c r="T4369" t="s">
        <v>4378</v>
      </c>
    </row>
    <row r="4370" spans="20:20" x14ac:dyDescent="0.2">
      <c r="T4370" t="s">
        <v>4379</v>
      </c>
    </row>
    <row r="4371" spans="20:20" x14ac:dyDescent="0.2">
      <c r="T4371" t="s">
        <v>4380</v>
      </c>
    </row>
    <row r="4372" spans="20:20" x14ac:dyDescent="0.2">
      <c r="T4372" t="s">
        <v>4381</v>
      </c>
    </row>
    <row r="4373" spans="20:20" x14ac:dyDescent="0.2">
      <c r="T4373" t="s">
        <v>4382</v>
      </c>
    </row>
    <row r="4374" spans="20:20" x14ac:dyDescent="0.2">
      <c r="T4374" t="s">
        <v>4383</v>
      </c>
    </row>
    <row r="4375" spans="20:20" x14ac:dyDescent="0.2">
      <c r="T4375" t="s">
        <v>4384</v>
      </c>
    </row>
    <row r="4376" spans="20:20" x14ac:dyDescent="0.2">
      <c r="T4376" t="s">
        <v>4385</v>
      </c>
    </row>
    <row r="4377" spans="20:20" x14ac:dyDescent="0.2">
      <c r="T4377" t="s">
        <v>4386</v>
      </c>
    </row>
    <row r="4378" spans="20:20" x14ac:dyDescent="0.2">
      <c r="T4378" t="s">
        <v>4387</v>
      </c>
    </row>
    <row r="4379" spans="20:20" x14ac:dyDescent="0.2">
      <c r="T4379" t="s">
        <v>4388</v>
      </c>
    </row>
    <row r="4380" spans="20:20" x14ac:dyDescent="0.2">
      <c r="T4380" t="s">
        <v>4389</v>
      </c>
    </row>
    <row r="4381" spans="20:20" x14ac:dyDescent="0.2">
      <c r="T4381" t="s">
        <v>4390</v>
      </c>
    </row>
    <row r="4382" spans="20:20" x14ac:dyDescent="0.2">
      <c r="T4382" t="s">
        <v>4391</v>
      </c>
    </row>
    <row r="4383" spans="20:20" x14ac:dyDescent="0.2">
      <c r="T4383" t="s">
        <v>4392</v>
      </c>
    </row>
    <row r="4384" spans="20:20" x14ac:dyDescent="0.2">
      <c r="T4384" t="s">
        <v>4393</v>
      </c>
    </row>
    <row r="4385" spans="20:20" x14ac:dyDescent="0.2">
      <c r="T4385" t="s">
        <v>4394</v>
      </c>
    </row>
    <row r="4386" spans="20:20" x14ac:dyDescent="0.2">
      <c r="T4386" t="s">
        <v>4395</v>
      </c>
    </row>
    <row r="4387" spans="20:20" x14ac:dyDescent="0.2">
      <c r="T4387" t="s">
        <v>4396</v>
      </c>
    </row>
    <row r="4388" spans="20:20" x14ac:dyDescent="0.2">
      <c r="T4388" t="s">
        <v>4397</v>
      </c>
    </row>
    <row r="4389" spans="20:20" x14ac:dyDescent="0.2">
      <c r="T4389" t="s">
        <v>4398</v>
      </c>
    </row>
    <row r="4390" spans="20:20" x14ac:dyDescent="0.2">
      <c r="T4390" t="s">
        <v>4399</v>
      </c>
    </row>
    <row r="4391" spans="20:20" x14ac:dyDescent="0.2">
      <c r="T4391" t="s">
        <v>4400</v>
      </c>
    </row>
    <row r="4392" spans="20:20" x14ac:dyDescent="0.2">
      <c r="T4392" t="s">
        <v>4401</v>
      </c>
    </row>
    <row r="4393" spans="20:20" x14ac:dyDescent="0.2">
      <c r="T4393" t="s">
        <v>4402</v>
      </c>
    </row>
    <row r="4394" spans="20:20" x14ac:dyDescent="0.2">
      <c r="T4394" t="s">
        <v>4403</v>
      </c>
    </row>
    <row r="4395" spans="20:20" x14ac:dyDescent="0.2">
      <c r="T4395" t="s">
        <v>4404</v>
      </c>
    </row>
    <row r="4396" spans="20:20" x14ac:dyDescent="0.2">
      <c r="T4396" t="s">
        <v>4405</v>
      </c>
    </row>
    <row r="4397" spans="20:20" x14ac:dyDescent="0.2">
      <c r="T4397" t="s">
        <v>4406</v>
      </c>
    </row>
    <row r="4398" spans="20:20" x14ac:dyDescent="0.2">
      <c r="T4398" t="s">
        <v>4407</v>
      </c>
    </row>
    <row r="4399" spans="20:20" x14ac:dyDescent="0.2">
      <c r="T4399" t="s">
        <v>4408</v>
      </c>
    </row>
    <row r="4400" spans="20:20" x14ac:dyDescent="0.2">
      <c r="T4400" t="s">
        <v>4409</v>
      </c>
    </row>
    <row r="4401" spans="20:20" x14ac:dyDescent="0.2">
      <c r="T4401" t="s">
        <v>4410</v>
      </c>
    </row>
    <row r="4402" spans="20:20" x14ac:dyDescent="0.2">
      <c r="T4402" t="s">
        <v>4411</v>
      </c>
    </row>
    <row r="4403" spans="20:20" x14ac:dyDescent="0.2">
      <c r="T4403" t="s">
        <v>4412</v>
      </c>
    </row>
    <row r="4404" spans="20:20" x14ac:dyDescent="0.2">
      <c r="T4404" t="s">
        <v>4413</v>
      </c>
    </row>
    <row r="4405" spans="20:20" x14ac:dyDescent="0.2">
      <c r="T4405" t="s">
        <v>4414</v>
      </c>
    </row>
    <row r="4406" spans="20:20" x14ac:dyDescent="0.2">
      <c r="T4406" t="s">
        <v>4415</v>
      </c>
    </row>
    <row r="4407" spans="20:20" x14ac:dyDescent="0.2">
      <c r="T4407" t="s">
        <v>4416</v>
      </c>
    </row>
    <row r="4408" spans="20:20" x14ac:dyDescent="0.2">
      <c r="T4408" t="s">
        <v>4417</v>
      </c>
    </row>
    <row r="4409" spans="20:20" x14ac:dyDescent="0.2">
      <c r="T4409" t="s">
        <v>863</v>
      </c>
    </row>
    <row r="4410" spans="20:20" x14ac:dyDescent="0.2">
      <c r="T4410" t="s">
        <v>4418</v>
      </c>
    </row>
    <row r="4411" spans="20:20" x14ac:dyDescent="0.2">
      <c r="T4411" t="s">
        <v>4419</v>
      </c>
    </row>
    <row r="4412" spans="20:20" x14ac:dyDescent="0.2">
      <c r="T4412" t="s">
        <v>4420</v>
      </c>
    </row>
    <row r="4413" spans="20:20" x14ac:dyDescent="0.2">
      <c r="T4413" t="s">
        <v>4421</v>
      </c>
    </row>
    <row r="4414" spans="20:20" x14ac:dyDescent="0.2">
      <c r="T4414" t="s">
        <v>4422</v>
      </c>
    </row>
    <row r="4415" spans="20:20" x14ac:dyDescent="0.2">
      <c r="T4415" t="s">
        <v>4423</v>
      </c>
    </row>
    <row r="4416" spans="20:20" x14ac:dyDescent="0.2">
      <c r="T4416" t="s">
        <v>4424</v>
      </c>
    </row>
    <row r="4417" spans="20:20" x14ac:dyDescent="0.2">
      <c r="T4417" t="s">
        <v>4425</v>
      </c>
    </row>
    <row r="4418" spans="20:20" x14ac:dyDescent="0.2">
      <c r="T4418" t="s">
        <v>4426</v>
      </c>
    </row>
    <row r="4419" spans="20:20" x14ac:dyDescent="0.2">
      <c r="T4419" t="s">
        <v>4427</v>
      </c>
    </row>
    <row r="4420" spans="20:20" x14ac:dyDescent="0.2">
      <c r="T4420" t="s">
        <v>4428</v>
      </c>
    </row>
    <row r="4421" spans="20:20" x14ac:dyDescent="0.2">
      <c r="T4421" t="s">
        <v>4429</v>
      </c>
    </row>
    <row r="4422" spans="20:20" x14ac:dyDescent="0.2">
      <c r="T4422" t="s">
        <v>4430</v>
      </c>
    </row>
    <row r="4423" spans="20:20" x14ac:dyDescent="0.2">
      <c r="T4423" t="s">
        <v>4431</v>
      </c>
    </row>
    <row r="4424" spans="20:20" x14ac:dyDescent="0.2">
      <c r="T4424" t="s">
        <v>4432</v>
      </c>
    </row>
    <row r="4425" spans="20:20" x14ac:dyDescent="0.2">
      <c r="T4425" t="s">
        <v>4433</v>
      </c>
    </row>
    <row r="4426" spans="20:20" x14ac:dyDescent="0.2">
      <c r="T4426" t="s">
        <v>4434</v>
      </c>
    </row>
    <row r="4427" spans="20:20" x14ac:dyDescent="0.2">
      <c r="T4427" t="s">
        <v>4435</v>
      </c>
    </row>
    <row r="4428" spans="20:20" x14ac:dyDescent="0.2">
      <c r="T4428" t="s">
        <v>4436</v>
      </c>
    </row>
    <row r="4429" spans="20:20" x14ac:dyDescent="0.2">
      <c r="T4429" t="s">
        <v>4437</v>
      </c>
    </row>
    <row r="4430" spans="20:20" x14ac:dyDescent="0.2">
      <c r="T4430" t="s">
        <v>4438</v>
      </c>
    </row>
    <row r="4431" spans="20:20" x14ac:dyDescent="0.2">
      <c r="T4431" t="s">
        <v>4439</v>
      </c>
    </row>
    <row r="4432" spans="20:20" x14ac:dyDescent="0.2">
      <c r="T4432" t="s">
        <v>3585</v>
      </c>
    </row>
    <row r="4433" spans="20:20" x14ac:dyDescent="0.2">
      <c r="T4433" t="s">
        <v>4440</v>
      </c>
    </row>
    <row r="4434" spans="20:20" x14ac:dyDescent="0.2">
      <c r="T4434" t="s">
        <v>4441</v>
      </c>
    </row>
    <row r="4435" spans="20:20" x14ac:dyDescent="0.2">
      <c r="T4435" t="s">
        <v>4442</v>
      </c>
    </row>
    <row r="4436" spans="20:20" x14ac:dyDescent="0.2">
      <c r="T4436" t="s">
        <v>4443</v>
      </c>
    </row>
    <row r="4437" spans="20:20" x14ac:dyDescent="0.2">
      <c r="T4437" t="s">
        <v>4444</v>
      </c>
    </row>
    <row r="4438" spans="20:20" x14ac:dyDescent="0.2">
      <c r="T4438" t="s">
        <v>4445</v>
      </c>
    </row>
    <row r="4439" spans="20:20" x14ac:dyDescent="0.2">
      <c r="T4439" t="s">
        <v>4446</v>
      </c>
    </row>
    <row r="4440" spans="20:20" x14ac:dyDescent="0.2">
      <c r="T4440" t="s">
        <v>4447</v>
      </c>
    </row>
    <row r="4441" spans="20:20" x14ac:dyDescent="0.2">
      <c r="T4441" t="s">
        <v>4448</v>
      </c>
    </row>
    <row r="4442" spans="20:20" x14ac:dyDescent="0.2">
      <c r="T4442" t="s">
        <v>4449</v>
      </c>
    </row>
    <row r="4443" spans="20:20" x14ac:dyDescent="0.2">
      <c r="T4443" t="s">
        <v>4450</v>
      </c>
    </row>
    <row r="4444" spans="20:20" x14ac:dyDescent="0.2">
      <c r="T4444" t="s">
        <v>4451</v>
      </c>
    </row>
    <row r="4445" spans="20:20" x14ac:dyDescent="0.2">
      <c r="T4445" t="s">
        <v>4452</v>
      </c>
    </row>
    <row r="4446" spans="20:20" x14ac:dyDescent="0.2">
      <c r="T4446" t="s">
        <v>4450</v>
      </c>
    </row>
    <row r="4447" spans="20:20" x14ac:dyDescent="0.2">
      <c r="T4447" t="s">
        <v>4453</v>
      </c>
    </row>
    <row r="4448" spans="20:20" x14ac:dyDescent="0.2">
      <c r="T4448" t="s">
        <v>4454</v>
      </c>
    </row>
    <row r="4449" spans="20:20" x14ac:dyDescent="0.2">
      <c r="T4449" t="s">
        <v>4455</v>
      </c>
    </row>
    <row r="4450" spans="20:20" x14ac:dyDescent="0.2">
      <c r="T4450" t="s">
        <v>4456</v>
      </c>
    </row>
    <row r="4451" spans="20:20" x14ac:dyDescent="0.2">
      <c r="T4451" t="s">
        <v>4457</v>
      </c>
    </row>
    <row r="4452" spans="20:20" x14ac:dyDescent="0.2">
      <c r="T4452" t="s">
        <v>4458</v>
      </c>
    </row>
    <row r="4453" spans="20:20" x14ac:dyDescent="0.2">
      <c r="T4453" t="s">
        <v>4459</v>
      </c>
    </row>
    <row r="4454" spans="20:20" x14ac:dyDescent="0.2">
      <c r="T4454" t="s">
        <v>4460</v>
      </c>
    </row>
    <row r="4455" spans="20:20" x14ac:dyDescent="0.2">
      <c r="T4455" t="s">
        <v>4461</v>
      </c>
    </row>
    <row r="4456" spans="20:20" x14ac:dyDescent="0.2">
      <c r="T4456" t="s">
        <v>4462</v>
      </c>
    </row>
    <row r="4457" spans="20:20" x14ac:dyDescent="0.2">
      <c r="T4457" t="s">
        <v>4463</v>
      </c>
    </row>
    <row r="4458" spans="20:20" x14ac:dyDescent="0.2">
      <c r="T4458" t="s">
        <v>4464</v>
      </c>
    </row>
    <row r="4459" spans="20:20" x14ac:dyDescent="0.2">
      <c r="T4459" t="s">
        <v>4465</v>
      </c>
    </row>
    <row r="4460" spans="20:20" x14ac:dyDescent="0.2">
      <c r="T4460" t="s">
        <v>4466</v>
      </c>
    </row>
    <row r="4461" spans="20:20" x14ac:dyDescent="0.2">
      <c r="T4461" t="s">
        <v>4467</v>
      </c>
    </row>
    <row r="4462" spans="20:20" x14ac:dyDescent="0.2">
      <c r="T4462" t="s">
        <v>4468</v>
      </c>
    </row>
    <row r="4463" spans="20:20" x14ac:dyDescent="0.2">
      <c r="T4463" t="s">
        <v>4469</v>
      </c>
    </row>
    <row r="4464" spans="20:20" x14ac:dyDescent="0.2">
      <c r="T4464" t="s">
        <v>4470</v>
      </c>
    </row>
    <row r="4465" spans="20:20" x14ac:dyDescent="0.2">
      <c r="T4465" t="s">
        <v>4471</v>
      </c>
    </row>
    <row r="4466" spans="20:20" x14ac:dyDescent="0.2">
      <c r="T4466" t="s">
        <v>4472</v>
      </c>
    </row>
    <row r="4467" spans="20:20" x14ac:dyDescent="0.2">
      <c r="T4467" t="s">
        <v>4473</v>
      </c>
    </row>
    <row r="4468" spans="20:20" x14ac:dyDescent="0.2">
      <c r="T4468" t="s">
        <v>4474</v>
      </c>
    </row>
    <row r="4469" spans="20:20" x14ac:dyDescent="0.2">
      <c r="T4469" t="s">
        <v>4475</v>
      </c>
    </row>
    <row r="4470" spans="20:20" x14ac:dyDescent="0.2">
      <c r="T4470" t="s">
        <v>4476</v>
      </c>
    </row>
    <row r="4471" spans="20:20" x14ac:dyDescent="0.2">
      <c r="T4471" t="s">
        <v>4477</v>
      </c>
    </row>
    <row r="4472" spans="20:20" x14ac:dyDescent="0.2">
      <c r="T4472" t="s">
        <v>4478</v>
      </c>
    </row>
    <row r="4473" spans="20:20" x14ac:dyDescent="0.2">
      <c r="T4473" t="s">
        <v>4479</v>
      </c>
    </row>
    <row r="4474" spans="20:20" x14ac:dyDescent="0.2">
      <c r="T4474" t="s">
        <v>4480</v>
      </c>
    </row>
    <row r="4475" spans="20:20" x14ac:dyDescent="0.2">
      <c r="T4475" t="s">
        <v>4481</v>
      </c>
    </row>
    <row r="4476" spans="20:20" x14ac:dyDescent="0.2">
      <c r="T4476" t="s">
        <v>4482</v>
      </c>
    </row>
    <row r="4477" spans="20:20" x14ac:dyDescent="0.2">
      <c r="T4477" t="s">
        <v>4483</v>
      </c>
    </row>
    <row r="4478" spans="20:20" x14ac:dyDescent="0.2">
      <c r="T4478" t="s">
        <v>4484</v>
      </c>
    </row>
    <row r="4479" spans="20:20" x14ac:dyDescent="0.2">
      <c r="T4479" t="s">
        <v>4485</v>
      </c>
    </row>
    <row r="4480" spans="20:20" x14ac:dyDescent="0.2">
      <c r="T4480" t="s">
        <v>4486</v>
      </c>
    </row>
    <row r="4481" spans="20:20" x14ac:dyDescent="0.2">
      <c r="T4481" t="s">
        <v>4487</v>
      </c>
    </row>
    <row r="4482" spans="20:20" x14ac:dyDescent="0.2">
      <c r="T4482" t="s">
        <v>4488</v>
      </c>
    </row>
    <row r="4483" spans="20:20" x14ac:dyDescent="0.2">
      <c r="T4483" t="s">
        <v>4489</v>
      </c>
    </row>
    <row r="4484" spans="20:20" x14ac:dyDescent="0.2">
      <c r="T4484" t="s">
        <v>4490</v>
      </c>
    </row>
    <row r="4485" spans="20:20" x14ac:dyDescent="0.2">
      <c r="T4485" t="s">
        <v>4491</v>
      </c>
    </row>
    <row r="4486" spans="20:20" x14ac:dyDescent="0.2">
      <c r="T4486" t="s">
        <v>4492</v>
      </c>
    </row>
    <row r="4487" spans="20:20" x14ac:dyDescent="0.2">
      <c r="T4487" t="s">
        <v>4493</v>
      </c>
    </row>
    <row r="4488" spans="20:20" x14ac:dyDescent="0.2">
      <c r="T4488" t="s">
        <v>4494</v>
      </c>
    </row>
    <row r="4489" spans="20:20" x14ac:dyDescent="0.2">
      <c r="T4489" t="s">
        <v>2075</v>
      </c>
    </row>
    <row r="4490" spans="20:20" x14ac:dyDescent="0.2">
      <c r="T4490" t="s">
        <v>4495</v>
      </c>
    </row>
    <row r="4491" spans="20:20" x14ac:dyDescent="0.2">
      <c r="T4491" t="s">
        <v>3569</v>
      </c>
    </row>
    <row r="4492" spans="20:20" x14ac:dyDescent="0.2">
      <c r="T4492" t="s">
        <v>4496</v>
      </c>
    </row>
    <row r="4493" spans="20:20" x14ac:dyDescent="0.2">
      <c r="T4493" t="s">
        <v>4497</v>
      </c>
    </row>
    <row r="4494" spans="20:20" x14ac:dyDescent="0.2">
      <c r="T4494" t="s">
        <v>4498</v>
      </c>
    </row>
    <row r="4495" spans="20:20" x14ac:dyDescent="0.2">
      <c r="T4495" t="s">
        <v>4499</v>
      </c>
    </row>
    <row r="4496" spans="20:20" x14ac:dyDescent="0.2">
      <c r="T4496" t="s">
        <v>764</v>
      </c>
    </row>
    <row r="4497" spans="20:20" x14ac:dyDescent="0.2">
      <c r="T4497" t="s">
        <v>3573</v>
      </c>
    </row>
    <row r="4498" spans="20:20" x14ac:dyDescent="0.2">
      <c r="T4498" t="s">
        <v>4500</v>
      </c>
    </row>
    <row r="4499" spans="20:20" x14ac:dyDescent="0.2">
      <c r="T4499" t="s">
        <v>4501</v>
      </c>
    </row>
    <row r="4500" spans="20:20" x14ac:dyDescent="0.2">
      <c r="T4500" t="s">
        <v>4502</v>
      </c>
    </row>
    <row r="4501" spans="20:20" x14ac:dyDescent="0.2">
      <c r="T4501" t="s">
        <v>4503</v>
      </c>
    </row>
    <row r="4502" spans="20:20" x14ac:dyDescent="0.2">
      <c r="T4502" t="s">
        <v>4504</v>
      </c>
    </row>
    <row r="4503" spans="20:20" x14ac:dyDescent="0.2">
      <c r="T4503" t="s">
        <v>4505</v>
      </c>
    </row>
    <row r="4504" spans="20:20" x14ac:dyDescent="0.2">
      <c r="T4504" t="s">
        <v>4506</v>
      </c>
    </row>
    <row r="4505" spans="20:20" x14ac:dyDescent="0.2">
      <c r="T4505" t="s">
        <v>4507</v>
      </c>
    </row>
    <row r="4506" spans="20:20" x14ac:dyDescent="0.2">
      <c r="T4506" t="s">
        <v>4508</v>
      </c>
    </row>
    <row r="4507" spans="20:20" x14ac:dyDescent="0.2">
      <c r="T4507" t="s">
        <v>4509</v>
      </c>
    </row>
    <row r="4508" spans="20:20" x14ac:dyDescent="0.2">
      <c r="T4508" t="s">
        <v>4510</v>
      </c>
    </row>
    <row r="4509" spans="20:20" x14ac:dyDescent="0.2">
      <c r="T4509" t="s">
        <v>4511</v>
      </c>
    </row>
    <row r="4510" spans="20:20" x14ac:dyDescent="0.2">
      <c r="T4510" t="s">
        <v>4512</v>
      </c>
    </row>
    <row r="4511" spans="20:20" x14ac:dyDescent="0.2">
      <c r="T4511" t="s">
        <v>4513</v>
      </c>
    </row>
    <row r="4512" spans="20:20" x14ac:dyDescent="0.2">
      <c r="T4512" t="s">
        <v>4514</v>
      </c>
    </row>
    <row r="4513" spans="20:20" x14ac:dyDescent="0.2">
      <c r="T4513" t="s">
        <v>4515</v>
      </c>
    </row>
    <row r="4514" spans="20:20" x14ac:dyDescent="0.2">
      <c r="T4514" t="s">
        <v>4516</v>
      </c>
    </row>
    <row r="4515" spans="20:20" x14ac:dyDescent="0.2">
      <c r="T4515" t="s">
        <v>4517</v>
      </c>
    </row>
    <row r="4516" spans="20:20" x14ac:dyDescent="0.2">
      <c r="T4516" t="s">
        <v>4518</v>
      </c>
    </row>
    <row r="4517" spans="20:20" x14ac:dyDescent="0.2">
      <c r="T4517" t="s">
        <v>4519</v>
      </c>
    </row>
    <row r="4518" spans="20:20" x14ac:dyDescent="0.2">
      <c r="T4518" t="s">
        <v>4520</v>
      </c>
    </row>
    <row r="4519" spans="20:20" x14ac:dyDescent="0.2">
      <c r="T4519" t="s">
        <v>4521</v>
      </c>
    </row>
    <row r="4520" spans="20:20" x14ac:dyDescent="0.2">
      <c r="T4520" t="s">
        <v>4522</v>
      </c>
    </row>
    <row r="4521" spans="20:20" x14ac:dyDescent="0.2">
      <c r="T4521" t="s">
        <v>4523</v>
      </c>
    </row>
    <row r="4522" spans="20:20" x14ac:dyDescent="0.2">
      <c r="T4522" t="s">
        <v>4524</v>
      </c>
    </row>
    <row r="4523" spans="20:20" x14ac:dyDescent="0.2">
      <c r="T4523" t="s">
        <v>4525</v>
      </c>
    </row>
    <row r="4524" spans="20:20" x14ac:dyDescent="0.2">
      <c r="T4524" t="s">
        <v>4526</v>
      </c>
    </row>
    <row r="4525" spans="20:20" x14ac:dyDescent="0.2">
      <c r="T4525" t="s">
        <v>4527</v>
      </c>
    </row>
    <row r="4526" spans="20:20" x14ac:dyDescent="0.2">
      <c r="T4526" t="s">
        <v>4528</v>
      </c>
    </row>
    <row r="4527" spans="20:20" x14ac:dyDescent="0.2">
      <c r="T4527" t="s">
        <v>4529</v>
      </c>
    </row>
    <row r="4528" spans="20:20" x14ac:dyDescent="0.2">
      <c r="T4528" t="s">
        <v>4530</v>
      </c>
    </row>
    <row r="4529" spans="20:20" x14ac:dyDescent="0.2">
      <c r="T4529" t="s">
        <v>4531</v>
      </c>
    </row>
    <row r="4530" spans="20:20" x14ac:dyDescent="0.2">
      <c r="T4530" t="s">
        <v>4532</v>
      </c>
    </row>
    <row r="4531" spans="20:20" x14ac:dyDescent="0.2">
      <c r="T4531" t="s">
        <v>4533</v>
      </c>
    </row>
    <row r="4532" spans="20:20" x14ac:dyDescent="0.2">
      <c r="T4532" t="s">
        <v>4534</v>
      </c>
    </row>
    <row r="4533" spans="20:20" x14ac:dyDescent="0.2">
      <c r="T4533" t="s">
        <v>4535</v>
      </c>
    </row>
    <row r="4534" spans="20:20" x14ac:dyDescent="0.2">
      <c r="T4534" t="s">
        <v>4536</v>
      </c>
    </row>
    <row r="4535" spans="20:20" x14ac:dyDescent="0.2">
      <c r="T4535" t="s">
        <v>4537</v>
      </c>
    </row>
    <row r="4536" spans="20:20" x14ac:dyDescent="0.2">
      <c r="T4536" t="s">
        <v>4538</v>
      </c>
    </row>
    <row r="4537" spans="20:20" x14ac:dyDescent="0.2">
      <c r="T4537" t="s">
        <v>4539</v>
      </c>
    </row>
    <row r="4538" spans="20:20" x14ac:dyDescent="0.2">
      <c r="T4538" t="s">
        <v>4540</v>
      </c>
    </row>
    <row r="4539" spans="20:20" x14ac:dyDescent="0.2">
      <c r="T4539" t="s">
        <v>4541</v>
      </c>
    </row>
    <row r="4540" spans="20:20" x14ac:dyDescent="0.2">
      <c r="T4540" t="s">
        <v>4542</v>
      </c>
    </row>
    <row r="4541" spans="20:20" x14ac:dyDescent="0.2">
      <c r="T4541" t="s">
        <v>4543</v>
      </c>
    </row>
    <row r="4542" spans="20:20" x14ac:dyDescent="0.2">
      <c r="T4542" t="s">
        <v>4544</v>
      </c>
    </row>
    <row r="4543" spans="20:20" x14ac:dyDescent="0.2">
      <c r="T4543" t="s">
        <v>4545</v>
      </c>
    </row>
    <row r="4544" spans="20:20" x14ac:dyDescent="0.2">
      <c r="T4544" t="s">
        <v>4546</v>
      </c>
    </row>
    <row r="4545" spans="20:20" x14ac:dyDescent="0.2">
      <c r="T4545" t="s">
        <v>4547</v>
      </c>
    </row>
    <row r="4546" spans="20:20" x14ac:dyDescent="0.2">
      <c r="T4546" t="s">
        <v>4548</v>
      </c>
    </row>
    <row r="4547" spans="20:20" x14ac:dyDescent="0.2">
      <c r="T4547" t="s">
        <v>4549</v>
      </c>
    </row>
    <row r="4548" spans="20:20" x14ac:dyDescent="0.2">
      <c r="T4548" t="s">
        <v>4550</v>
      </c>
    </row>
    <row r="4549" spans="20:20" x14ac:dyDescent="0.2">
      <c r="T4549" t="s">
        <v>4551</v>
      </c>
    </row>
    <row r="4550" spans="20:20" x14ac:dyDescent="0.2">
      <c r="T4550" t="s">
        <v>4552</v>
      </c>
    </row>
    <row r="4551" spans="20:20" x14ac:dyDescent="0.2">
      <c r="T4551" t="s">
        <v>4553</v>
      </c>
    </row>
    <row r="4552" spans="20:20" x14ac:dyDescent="0.2">
      <c r="T4552" t="s">
        <v>4554</v>
      </c>
    </row>
    <row r="4553" spans="20:20" x14ac:dyDescent="0.2">
      <c r="T4553" t="s">
        <v>4555</v>
      </c>
    </row>
    <row r="4554" spans="20:20" x14ac:dyDescent="0.2">
      <c r="T4554" t="s">
        <v>4556</v>
      </c>
    </row>
    <row r="4555" spans="20:20" x14ac:dyDescent="0.2">
      <c r="T4555" t="s">
        <v>4557</v>
      </c>
    </row>
    <row r="4556" spans="20:20" x14ac:dyDescent="0.2">
      <c r="T4556" t="s">
        <v>4558</v>
      </c>
    </row>
    <row r="4557" spans="20:20" x14ac:dyDescent="0.2">
      <c r="T4557" t="s">
        <v>4559</v>
      </c>
    </row>
    <row r="4558" spans="20:20" x14ac:dyDescent="0.2">
      <c r="T4558" t="s">
        <v>4560</v>
      </c>
    </row>
    <row r="4559" spans="20:20" x14ac:dyDescent="0.2">
      <c r="T4559" t="s">
        <v>4561</v>
      </c>
    </row>
    <row r="4560" spans="20:20" x14ac:dyDescent="0.2">
      <c r="T4560" t="s">
        <v>4562</v>
      </c>
    </row>
    <row r="4561" spans="20:20" x14ac:dyDescent="0.2">
      <c r="T4561" t="s">
        <v>4563</v>
      </c>
    </row>
    <row r="4562" spans="20:20" x14ac:dyDescent="0.2">
      <c r="T4562" t="s">
        <v>4564</v>
      </c>
    </row>
    <row r="4563" spans="20:20" x14ac:dyDescent="0.2">
      <c r="T4563" t="s">
        <v>4565</v>
      </c>
    </row>
    <row r="4564" spans="20:20" x14ac:dyDescent="0.2">
      <c r="T4564" t="s">
        <v>4566</v>
      </c>
    </row>
    <row r="4565" spans="20:20" x14ac:dyDescent="0.2">
      <c r="T4565" t="s">
        <v>4567</v>
      </c>
    </row>
    <row r="4566" spans="20:20" x14ac:dyDescent="0.2">
      <c r="T4566" t="s">
        <v>4568</v>
      </c>
    </row>
    <row r="4567" spans="20:20" x14ac:dyDescent="0.2">
      <c r="T4567" t="s">
        <v>4527</v>
      </c>
    </row>
    <row r="4568" spans="20:20" x14ac:dyDescent="0.2">
      <c r="T4568" t="s">
        <v>4569</v>
      </c>
    </row>
    <row r="4569" spans="20:20" x14ac:dyDescent="0.2">
      <c r="T4569" t="s">
        <v>4570</v>
      </c>
    </row>
    <row r="4570" spans="20:20" x14ac:dyDescent="0.2">
      <c r="T4570" t="s">
        <v>4571</v>
      </c>
    </row>
    <row r="4571" spans="20:20" x14ac:dyDescent="0.2">
      <c r="T4571" t="s">
        <v>4572</v>
      </c>
    </row>
    <row r="4572" spans="20:20" x14ac:dyDescent="0.2">
      <c r="T4572" t="s">
        <v>4573</v>
      </c>
    </row>
    <row r="4573" spans="20:20" x14ac:dyDescent="0.2">
      <c r="T4573" t="s">
        <v>4574</v>
      </c>
    </row>
    <row r="4574" spans="20:20" x14ac:dyDescent="0.2">
      <c r="T4574" t="s">
        <v>4575</v>
      </c>
    </row>
    <row r="4575" spans="20:20" x14ac:dyDescent="0.2">
      <c r="T4575" t="s">
        <v>4576</v>
      </c>
    </row>
    <row r="4576" spans="20:20" x14ac:dyDescent="0.2">
      <c r="T4576" t="s">
        <v>4577</v>
      </c>
    </row>
    <row r="4577" spans="20:20" x14ac:dyDescent="0.2">
      <c r="T4577" t="s">
        <v>4578</v>
      </c>
    </row>
    <row r="4578" spans="20:20" x14ac:dyDescent="0.2">
      <c r="T4578" t="s">
        <v>4579</v>
      </c>
    </row>
    <row r="4579" spans="20:20" x14ac:dyDescent="0.2">
      <c r="T4579" t="s">
        <v>4580</v>
      </c>
    </row>
    <row r="4580" spans="20:20" x14ac:dyDescent="0.2">
      <c r="T4580" t="s">
        <v>4581</v>
      </c>
    </row>
    <row r="4581" spans="20:20" x14ac:dyDescent="0.2">
      <c r="T4581" t="s">
        <v>4582</v>
      </c>
    </row>
    <row r="4582" spans="20:20" x14ac:dyDescent="0.2">
      <c r="T4582" t="s">
        <v>4583</v>
      </c>
    </row>
    <row r="4583" spans="20:20" x14ac:dyDescent="0.2">
      <c r="T4583" t="s">
        <v>4584</v>
      </c>
    </row>
    <row r="4584" spans="20:20" x14ac:dyDescent="0.2">
      <c r="T4584" t="s">
        <v>4585</v>
      </c>
    </row>
    <row r="4585" spans="20:20" x14ac:dyDescent="0.2">
      <c r="T4585" t="s">
        <v>4586</v>
      </c>
    </row>
    <row r="4586" spans="20:20" x14ac:dyDescent="0.2">
      <c r="T4586" t="s">
        <v>4587</v>
      </c>
    </row>
    <row r="4587" spans="20:20" x14ac:dyDescent="0.2">
      <c r="T4587" t="s">
        <v>4588</v>
      </c>
    </row>
    <row r="4588" spans="20:20" x14ac:dyDescent="0.2">
      <c r="T4588" t="s">
        <v>4589</v>
      </c>
    </row>
    <row r="4589" spans="20:20" x14ac:dyDescent="0.2">
      <c r="T4589" t="s">
        <v>4590</v>
      </c>
    </row>
    <row r="4590" spans="20:20" x14ac:dyDescent="0.2">
      <c r="T4590" t="s">
        <v>4591</v>
      </c>
    </row>
    <row r="4591" spans="20:20" x14ac:dyDescent="0.2">
      <c r="T4591" t="s">
        <v>4592</v>
      </c>
    </row>
    <row r="4592" spans="20:20" x14ac:dyDescent="0.2">
      <c r="T4592" t="s">
        <v>4593</v>
      </c>
    </row>
    <row r="4593" spans="20:20" x14ac:dyDescent="0.2">
      <c r="T4593" t="s">
        <v>4594</v>
      </c>
    </row>
    <row r="4594" spans="20:20" x14ac:dyDescent="0.2">
      <c r="T4594" t="s">
        <v>4595</v>
      </c>
    </row>
    <row r="4595" spans="20:20" x14ac:dyDescent="0.2">
      <c r="T4595" t="s">
        <v>4596</v>
      </c>
    </row>
    <row r="4596" spans="20:20" x14ac:dyDescent="0.2">
      <c r="T4596" t="s">
        <v>4597</v>
      </c>
    </row>
    <row r="4597" spans="20:20" x14ac:dyDescent="0.2">
      <c r="T4597" t="s">
        <v>4598</v>
      </c>
    </row>
    <row r="4598" spans="20:20" x14ac:dyDescent="0.2">
      <c r="T4598" t="s">
        <v>4599</v>
      </c>
    </row>
    <row r="4599" spans="20:20" x14ac:dyDescent="0.2">
      <c r="T4599" t="s">
        <v>4600</v>
      </c>
    </row>
    <row r="4600" spans="20:20" x14ac:dyDescent="0.2">
      <c r="T4600" t="s">
        <v>4601</v>
      </c>
    </row>
    <row r="4601" spans="20:20" x14ac:dyDescent="0.2">
      <c r="T4601" t="s">
        <v>4602</v>
      </c>
    </row>
    <row r="4602" spans="20:20" x14ac:dyDescent="0.2">
      <c r="T4602" t="s">
        <v>4603</v>
      </c>
    </row>
    <row r="4603" spans="20:20" x14ac:dyDescent="0.2">
      <c r="T4603" t="s">
        <v>4604</v>
      </c>
    </row>
    <row r="4604" spans="20:20" x14ac:dyDescent="0.2">
      <c r="T4604" t="s">
        <v>4605</v>
      </c>
    </row>
    <row r="4605" spans="20:20" x14ac:dyDescent="0.2">
      <c r="T4605" t="s">
        <v>4606</v>
      </c>
    </row>
    <row r="4606" spans="20:20" x14ac:dyDescent="0.2">
      <c r="T4606" t="s">
        <v>4607</v>
      </c>
    </row>
    <row r="4607" spans="20:20" x14ac:dyDescent="0.2">
      <c r="T4607" t="s">
        <v>4608</v>
      </c>
    </row>
    <row r="4608" spans="20:20" x14ac:dyDescent="0.2">
      <c r="T4608" t="s">
        <v>4609</v>
      </c>
    </row>
    <row r="4609" spans="20:20" x14ac:dyDescent="0.2">
      <c r="T4609" t="s">
        <v>4610</v>
      </c>
    </row>
    <row r="4610" spans="20:20" x14ac:dyDescent="0.2">
      <c r="T4610" t="s">
        <v>4611</v>
      </c>
    </row>
    <row r="4611" spans="20:20" x14ac:dyDescent="0.2">
      <c r="T4611" t="s">
        <v>4612</v>
      </c>
    </row>
    <row r="4612" spans="20:20" x14ac:dyDescent="0.2">
      <c r="T4612" t="s">
        <v>4613</v>
      </c>
    </row>
    <row r="4613" spans="20:20" x14ac:dyDescent="0.2">
      <c r="T4613" t="s">
        <v>4614</v>
      </c>
    </row>
    <row r="4614" spans="20:20" x14ac:dyDescent="0.2">
      <c r="T4614" t="s">
        <v>4615</v>
      </c>
    </row>
    <row r="4615" spans="20:20" x14ac:dyDescent="0.2">
      <c r="T4615" t="s">
        <v>472</v>
      </c>
    </row>
    <row r="4616" spans="20:20" x14ac:dyDescent="0.2">
      <c r="T4616" t="s">
        <v>473</v>
      </c>
    </row>
    <row r="4617" spans="20:20" x14ac:dyDescent="0.2">
      <c r="T4617" t="s">
        <v>4616</v>
      </c>
    </row>
    <row r="4618" spans="20:20" x14ac:dyDescent="0.2">
      <c r="T4618" t="s">
        <v>4617</v>
      </c>
    </row>
    <row r="4619" spans="20:20" x14ac:dyDescent="0.2">
      <c r="T4619" t="s">
        <v>4618</v>
      </c>
    </row>
    <row r="4620" spans="20:20" x14ac:dyDescent="0.2">
      <c r="T4620" t="s">
        <v>4619</v>
      </c>
    </row>
    <row r="4621" spans="20:20" x14ac:dyDescent="0.2">
      <c r="T4621" t="s">
        <v>4620</v>
      </c>
    </row>
    <row r="4622" spans="20:20" x14ac:dyDescent="0.2">
      <c r="T4622" t="s">
        <v>4621</v>
      </c>
    </row>
    <row r="4623" spans="20:20" x14ac:dyDescent="0.2">
      <c r="T4623" t="s">
        <v>4622</v>
      </c>
    </row>
    <row r="4624" spans="20:20" x14ac:dyDescent="0.2">
      <c r="T4624" t="s">
        <v>4623</v>
      </c>
    </row>
    <row r="4625" spans="20:20" x14ac:dyDescent="0.2">
      <c r="T4625" t="s">
        <v>4624</v>
      </c>
    </row>
    <row r="4626" spans="20:20" x14ac:dyDescent="0.2">
      <c r="T4626" t="s">
        <v>4625</v>
      </c>
    </row>
    <row r="4627" spans="20:20" x14ac:dyDescent="0.2">
      <c r="T4627" t="s">
        <v>4626</v>
      </c>
    </row>
    <row r="4628" spans="20:20" x14ac:dyDescent="0.2">
      <c r="T4628" t="s">
        <v>4627</v>
      </c>
    </row>
    <row r="4629" spans="20:20" x14ac:dyDescent="0.2">
      <c r="T4629" t="s">
        <v>4628</v>
      </c>
    </row>
    <row r="4630" spans="20:20" x14ac:dyDescent="0.2">
      <c r="T4630" t="s">
        <v>4629</v>
      </c>
    </row>
    <row r="4631" spans="20:20" x14ac:dyDescent="0.2">
      <c r="T4631" t="s">
        <v>4630</v>
      </c>
    </row>
    <row r="4632" spans="20:20" x14ac:dyDescent="0.2">
      <c r="T4632" t="s">
        <v>4631</v>
      </c>
    </row>
    <row r="4633" spans="20:20" x14ac:dyDescent="0.2">
      <c r="T4633" t="s">
        <v>472</v>
      </c>
    </row>
    <row r="4634" spans="20:20" x14ac:dyDescent="0.2">
      <c r="T4634" t="s">
        <v>473</v>
      </c>
    </row>
    <row r="4635" spans="20:20" x14ac:dyDescent="0.2">
      <c r="T4635" t="s">
        <v>4632</v>
      </c>
    </row>
    <row r="4636" spans="20:20" x14ac:dyDescent="0.2">
      <c r="T4636" t="s">
        <v>4633</v>
      </c>
    </row>
    <row r="4637" spans="20:20" x14ac:dyDescent="0.2">
      <c r="T4637" t="s">
        <v>4634</v>
      </c>
    </row>
    <row r="4638" spans="20:20" x14ac:dyDescent="0.2">
      <c r="T4638" t="s">
        <v>4635</v>
      </c>
    </row>
    <row r="4639" spans="20:20" x14ac:dyDescent="0.2">
      <c r="T4639" t="s">
        <v>4636</v>
      </c>
    </row>
    <row r="4640" spans="20:20" x14ac:dyDescent="0.2">
      <c r="T4640" t="s">
        <v>4637</v>
      </c>
    </row>
    <row r="4641" spans="20:20" x14ac:dyDescent="0.2">
      <c r="T4641" t="s">
        <v>4638</v>
      </c>
    </row>
    <row r="4642" spans="20:20" x14ac:dyDescent="0.2">
      <c r="T4642" t="s">
        <v>4639</v>
      </c>
    </row>
    <row r="4643" spans="20:20" x14ac:dyDescent="0.2">
      <c r="T4643" t="s">
        <v>4640</v>
      </c>
    </row>
    <row r="4644" spans="20:20" x14ac:dyDescent="0.2">
      <c r="T4644" t="s">
        <v>4641</v>
      </c>
    </row>
    <row r="4645" spans="20:20" x14ac:dyDescent="0.2">
      <c r="T4645" t="s">
        <v>4642</v>
      </c>
    </row>
    <row r="4646" spans="20:20" x14ac:dyDescent="0.2">
      <c r="T4646" t="s">
        <v>4643</v>
      </c>
    </row>
    <row r="4647" spans="20:20" x14ac:dyDescent="0.2">
      <c r="T4647" t="s">
        <v>4644</v>
      </c>
    </row>
    <row r="4648" spans="20:20" x14ac:dyDescent="0.2">
      <c r="T4648" t="s">
        <v>4645</v>
      </c>
    </row>
    <row r="4649" spans="20:20" x14ac:dyDescent="0.2">
      <c r="T4649" t="s">
        <v>4646</v>
      </c>
    </row>
    <row r="4650" spans="20:20" x14ac:dyDescent="0.2">
      <c r="T4650" t="s">
        <v>4647</v>
      </c>
    </row>
    <row r="4651" spans="20:20" x14ac:dyDescent="0.2">
      <c r="T4651" t="s">
        <v>4648</v>
      </c>
    </row>
    <row r="4652" spans="20:20" x14ac:dyDescent="0.2">
      <c r="T4652" t="s">
        <v>4649</v>
      </c>
    </row>
    <row r="4653" spans="20:20" x14ac:dyDescent="0.2">
      <c r="T4653" t="s">
        <v>4650</v>
      </c>
    </row>
    <row r="4654" spans="20:20" x14ac:dyDescent="0.2">
      <c r="T4654" t="s">
        <v>4651</v>
      </c>
    </row>
    <row r="4655" spans="20:20" x14ac:dyDescent="0.2">
      <c r="T4655" t="s">
        <v>4652</v>
      </c>
    </row>
    <row r="4656" spans="20:20" x14ac:dyDescent="0.2">
      <c r="T4656" t="s">
        <v>4653</v>
      </c>
    </row>
    <row r="4657" spans="20:20" x14ac:dyDescent="0.2">
      <c r="T4657" t="s">
        <v>4654</v>
      </c>
    </row>
    <row r="4658" spans="20:20" x14ac:dyDescent="0.2">
      <c r="T4658" t="s">
        <v>428</v>
      </c>
    </row>
    <row r="4659" spans="20:20" x14ac:dyDescent="0.2">
      <c r="T4659" t="s">
        <v>4655</v>
      </c>
    </row>
    <row r="4660" spans="20:20" x14ac:dyDescent="0.2">
      <c r="T4660" t="s">
        <v>4656</v>
      </c>
    </row>
    <row r="4661" spans="20:20" x14ac:dyDescent="0.2">
      <c r="T4661" t="s">
        <v>4657</v>
      </c>
    </row>
    <row r="4662" spans="20:20" x14ac:dyDescent="0.2">
      <c r="T4662" t="s">
        <v>4658</v>
      </c>
    </row>
    <row r="4663" spans="20:20" x14ac:dyDescent="0.2">
      <c r="T4663" t="s">
        <v>4659</v>
      </c>
    </row>
    <row r="4664" spans="20:20" x14ac:dyDescent="0.2">
      <c r="T4664" t="s">
        <v>4660</v>
      </c>
    </row>
    <row r="4665" spans="20:20" x14ac:dyDescent="0.2">
      <c r="T4665" t="s">
        <v>4661</v>
      </c>
    </row>
    <row r="4666" spans="20:20" x14ac:dyDescent="0.2">
      <c r="T4666" t="s">
        <v>4662</v>
      </c>
    </row>
    <row r="4667" spans="20:20" x14ac:dyDescent="0.2">
      <c r="T4667" t="s">
        <v>4663</v>
      </c>
    </row>
    <row r="4668" spans="20:20" x14ac:dyDescent="0.2">
      <c r="T4668" t="s">
        <v>4664</v>
      </c>
    </row>
    <row r="4669" spans="20:20" x14ac:dyDescent="0.2">
      <c r="T4669" t="s">
        <v>4665</v>
      </c>
    </row>
    <row r="4670" spans="20:20" x14ac:dyDescent="0.2">
      <c r="T4670" t="s">
        <v>4666</v>
      </c>
    </row>
    <row r="4671" spans="20:20" x14ac:dyDescent="0.2">
      <c r="T4671" t="s">
        <v>4667</v>
      </c>
    </row>
    <row r="4672" spans="20:20" x14ac:dyDescent="0.2">
      <c r="T4672" t="s">
        <v>4668</v>
      </c>
    </row>
    <row r="4673" spans="20:20" x14ac:dyDescent="0.2">
      <c r="T4673" t="s">
        <v>4669</v>
      </c>
    </row>
    <row r="4674" spans="20:20" x14ac:dyDescent="0.2">
      <c r="T4674" t="s">
        <v>4670</v>
      </c>
    </row>
    <row r="4675" spans="20:20" x14ac:dyDescent="0.2">
      <c r="T4675" t="s">
        <v>4671</v>
      </c>
    </row>
    <row r="4676" spans="20:20" x14ac:dyDescent="0.2">
      <c r="T4676" t="s">
        <v>4672</v>
      </c>
    </row>
    <row r="4677" spans="20:20" x14ac:dyDescent="0.2">
      <c r="T4677" t="s">
        <v>4673</v>
      </c>
    </row>
    <row r="4678" spans="20:20" x14ac:dyDescent="0.2">
      <c r="T4678" t="s">
        <v>4674</v>
      </c>
    </row>
    <row r="4679" spans="20:20" x14ac:dyDescent="0.2">
      <c r="T4679" t="s">
        <v>2270</v>
      </c>
    </row>
    <row r="4680" spans="20:20" x14ac:dyDescent="0.2">
      <c r="T4680" t="s">
        <v>4675</v>
      </c>
    </row>
    <row r="4681" spans="20:20" x14ac:dyDescent="0.2">
      <c r="T4681" t="s">
        <v>4676</v>
      </c>
    </row>
    <row r="4682" spans="20:20" x14ac:dyDescent="0.2">
      <c r="T4682" t="s">
        <v>4677</v>
      </c>
    </row>
    <row r="4683" spans="20:20" x14ac:dyDescent="0.2">
      <c r="T4683" t="s">
        <v>4678</v>
      </c>
    </row>
    <row r="4684" spans="20:20" x14ac:dyDescent="0.2">
      <c r="T4684" t="s">
        <v>4679</v>
      </c>
    </row>
    <row r="4685" spans="20:20" x14ac:dyDescent="0.2">
      <c r="T4685" t="s">
        <v>4680</v>
      </c>
    </row>
    <row r="4686" spans="20:20" x14ac:dyDescent="0.2">
      <c r="T4686" t="s">
        <v>4681</v>
      </c>
    </row>
    <row r="4687" spans="20:20" x14ac:dyDescent="0.2">
      <c r="T4687" t="s">
        <v>4682</v>
      </c>
    </row>
    <row r="4688" spans="20:20" x14ac:dyDescent="0.2">
      <c r="T4688" t="s">
        <v>4683</v>
      </c>
    </row>
    <row r="4689" spans="20:20" x14ac:dyDescent="0.2">
      <c r="T4689" t="s">
        <v>4684</v>
      </c>
    </row>
    <row r="4690" spans="20:20" x14ac:dyDescent="0.2">
      <c r="T4690" t="s">
        <v>4685</v>
      </c>
    </row>
    <row r="4691" spans="20:20" x14ac:dyDescent="0.2">
      <c r="T4691" t="s">
        <v>4686</v>
      </c>
    </row>
    <row r="4692" spans="20:20" x14ac:dyDescent="0.2">
      <c r="T4692" t="s">
        <v>4687</v>
      </c>
    </row>
    <row r="4693" spans="20:20" x14ac:dyDescent="0.2">
      <c r="T4693" t="s">
        <v>4688</v>
      </c>
    </row>
    <row r="4694" spans="20:20" x14ac:dyDescent="0.2">
      <c r="T4694" t="s">
        <v>4689</v>
      </c>
    </row>
    <row r="4695" spans="20:20" x14ac:dyDescent="0.2">
      <c r="T4695" t="s">
        <v>4690</v>
      </c>
    </row>
    <row r="4696" spans="20:20" x14ac:dyDescent="0.2">
      <c r="T4696" t="s">
        <v>4691</v>
      </c>
    </row>
    <row r="4697" spans="20:20" x14ac:dyDescent="0.2">
      <c r="T4697" t="s">
        <v>4692</v>
      </c>
    </row>
    <row r="4698" spans="20:20" x14ac:dyDescent="0.2">
      <c r="T4698" t="s">
        <v>4693</v>
      </c>
    </row>
    <row r="4699" spans="20:20" x14ac:dyDescent="0.2">
      <c r="T4699" t="s">
        <v>4694</v>
      </c>
    </row>
    <row r="4700" spans="20:20" x14ac:dyDescent="0.2">
      <c r="T4700" t="s">
        <v>4695</v>
      </c>
    </row>
    <row r="4701" spans="20:20" x14ac:dyDescent="0.2">
      <c r="T4701" t="s">
        <v>4696</v>
      </c>
    </row>
    <row r="4702" spans="20:20" x14ac:dyDescent="0.2">
      <c r="T4702" t="s">
        <v>4697</v>
      </c>
    </row>
    <row r="4703" spans="20:20" x14ac:dyDescent="0.2">
      <c r="T4703" t="s">
        <v>4698</v>
      </c>
    </row>
    <row r="4704" spans="20:20" x14ac:dyDescent="0.2">
      <c r="T4704" t="s">
        <v>4699</v>
      </c>
    </row>
    <row r="4705" spans="20:20" x14ac:dyDescent="0.2">
      <c r="T4705" t="s">
        <v>4700</v>
      </c>
    </row>
    <row r="4706" spans="20:20" x14ac:dyDescent="0.2">
      <c r="T4706" t="s">
        <v>4701</v>
      </c>
    </row>
    <row r="4707" spans="20:20" x14ac:dyDescent="0.2">
      <c r="T4707" t="s">
        <v>4702</v>
      </c>
    </row>
    <row r="4708" spans="20:20" x14ac:dyDescent="0.2">
      <c r="T4708" t="s">
        <v>4703</v>
      </c>
    </row>
    <row r="4709" spans="20:20" x14ac:dyDescent="0.2">
      <c r="T4709" t="s">
        <v>4704</v>
      </c>
    </row>
    <row r="4710" spans="20:20" x14ac:dyDescent="0.2">
      <c r="T4710" t="s">
        <v>4705</v>
      </c>
    </row>
    <row r="4711" spans="20:20" x14ac:dyDescent="0.2">
      <c r="T4711" t="s">
        <v>4706</v>
      </c>
    </row>
    <row r="4712" spans="20:20" x14ac:dyDescent="0.2">
      <c r="T4712" t="s">
        <v>4707</v>
      </c>
    </row>
    <row r="4713" spans="20:20" x14ac:dyDescent="0.2">
      <c r="T4713" t="s">
        <v>4708</v>
      </c>
    </row>
    <row r="4714" spans="20:20" x14ac:dyDescent="0.2">
      <c r="T4714" t="s">
        <v>4709</v>
      </c>
    </row>
    <row r="4715" spans="20:20" x14ac:dyDescent="0.2">
      <c r="T4715" t="s">
        <v>4710</v>
      </c>
    </row>
    <row r="4716" spans="20:20" x14ac:dyDescent="0.2">
      <c r="T4716" t="s">
        <v>4711</v>
      </c>
    </row>
    <row r="4717" spans="20:20" x14ac:dyDescent="0.2">
      <c r="T4717" t="s">
        <v>4712</v>
      </c>
    </row>
    <row r="4718" spans="20:20" x14ac:dyDescent="0.2">
      <c r="T4718" t="s">
        <v>4704</v>
      </c>
    </row>
    <row r="4719" spans="20:20" x14ac:dyDescent="0.2">
      <c r="T4719" t="s">
        <v>4713</v>
      </c>
    </row>
    <row r="4720" spans="20:20" x14ac:dyDescent="0.2">
      <c r="T4720" t="s">
        <v>4714</v>
      </c>
    </row>
    <row r="4721" spans="20:20" x14ac:dyDescent="0.2">
      <c r="T4721" t="s">
        <v>4715</v>
      </c>
    </row>
    <row r="4722" spans="20:20" x14ac:dyDescent="0.2">
      <c r="T4722" t="s">
        <v>4716</v>
      </c>
    </row>
    <row r="4723" spans="20:20" x14ac:dyDescent="0.2">
      <c r="T4723" t="s">
        <v>4717</v>
      </c>
    </row>
    <row r="4724" spans="20:20" x14ac:dyDescent="0.2">
      <c r="T4724" t="s">
        <v>4718</v>
      </c>
    </row>
    <row r="4725" spans="20:20" x14ac:dyDescent="0.2">
      <c r="T4725" t="s">
        <v>4719</v>
      </c>
    </row>
    <row r="4726" spans="20:20" x14ac:dyDescent="0.2">
      <c r="T4726" t="s">
        <v>4720</v>
      </c>
    </row>
    <row r="4727" spans="20:20" x14ac:dyDescent="0.2">
      <c r="T4727" t="s">
        <v>4721</v>
      </c>
    </row>
    <row r="4728" spans="20:20" x14ac:dyDescent="0.2">
      <c r="T4728" t="s">
        <v>4722</v>
      </c>
    </row>
    <row r="4729" spans="20:20" x14ac:dyDescent="0.2">
      <c r="T4729" t="s">
        <v>4723</v>
      </c>
    </row>
    <row r="4730" spans="20:20" x14ac:dyDescent="0.2">
      <c r="T4730" t="s">
        <v>4724</v>
      </c>
    </row>
    <row r="4731" spans="20:20" x14ac:dyDescent="0.2">
      <c r="T4731" t="s">
        <v>4725</v>
      </c>
    </row>
    <row r="4732" spans="20:20" x14ac:dyDescent="0.2">
      <c r="T4732" t="s">
        <v>4726</v>
      </c>
    </row>
    <row r="4733" spans="20:20" x14ac:dyDescent="0.2">
      <c r="T4733" t="s">
        <v>4727</v>
      </c>
    </row>
    <row r="4734" spans="20:20" x14ac:dyDescent="0.2">
      <c r="T4734" t="s">
        <v>4728</v>
      </c>
    </row>
    <row r="4735" spans="20:20" x14ac:dyDescent="0.2">
      <c r="T4735" t="s">
        <v>4729</v>
      </c>
    </row>
    <row r="4736" spans="20:20" x14ac:dyDescent="0.2">
      <c r="T4736" t="s">
        <v>4730</v>
      </c>
    </row>
    <row r="4737" spans="20:20" x14ac:dyDescent="0.2">
      <c r="T4737" t="s">
        <v>4731</v>
      </c>
    </row>
    <row r="4738" spans="20:20" x14ac:dyDescent="0.2">
      <c r="T4738" t="s">
        <v>4732</v>
      </c>
    </row>
    <row r="4739" spans="20:20" x14ac:dyDescent="0.2">
      <c r="T4739" t="s">
        <v>4733</v>
      </c>
    </row>
    <row r="4740" spans="20:20" x14ac:dyDescent="0.2">
      <c r="T4740" t="s">
        <v>4734</v>
      </c>
    </row>
    <row r="4741" spans="20:20" x14ac:dyDescent="0.2">
      <c r="T4741" t="s">
        <v>4735</v>
      </c>
    </row>
    <row r="4742" spans="20:20" x14ac:dyDescent="0.2">
      <c r="T4742" t="s">
        <v>4736</v>
      </c>
    </row>
    <row r="4743" spans="20:20" x14ac:dyDescent="0.2">
      <c r="T4743" t="s">
        <v>4737</v>
      </c>
    </row>
    <row r="4744" spans="20:20" x14ac:dyDescent="0.2">
      <c r="T4744" t="s">
        <v>4738</v>
      </c>
    </row>
    <row r="4745" spans="20:20" x14ac:dyDescent="0.2">
      <c r="T4745" t="s">
        <v>4739</v>
      </c>
    </row>
    <row r="4746" spans="20:20" x14ac:dyDescent="0.2">
      <c r="T4746" t="s">
        <v>4740</v>
      </c>
    </row>
    <row r="4747" spans="20:20" x14ac:dyDescent="0.2">
      <c r="T4747" t="s">
        <v>4741</v>
      </c>
    </row>
    <row r="4748" spans="20:20" x14ac:dyDescent="0.2">
      <c r="T4748" t="s">
        <v>4742</v>
      </c>
    </row>
    <row r="4749" spans="20:20" x14ac:dyDescent="0.2">
      <c r="T4749" t="s">
        <v>4743</v>
      </c>
    </row>
    <row r="4750" spans="20:20" x14ac:dyDescent="0.2">
      <c r="T4750" t="s">
        <v>4744</v>
      </c>
    </row>
    <row r="4751" spans="20:20" x14ac:dyDescent="0.2">
      <c r="T4751" t="s">
        <v>4745</v>
      </c>
    </row>
    <row r="4752" spans="20:20" x14ac:dyDescent="0.2">
      <c r="T4752" t="s">
        <v>4746</v>
      </c>
    </row>
    <row r="4753" spans="20:20" x14ac:dyDescent="0.2">
      <c r="T4753" t="s">
        <v>4747</v>
      </c>
    </row>
    <row r="4754" spans="20:20" x14ac:dyDescent="0.2">
      <c r="T4754" t="s">
        <v>4748</v>
      </c>
    </row>
    <row r="4755" spans="20:20" x14ac:dyDescent="0.2">
      <c r="T4755" t="s">
        <v>4749</v>
      </c>
    </row>
    <row r="4756" spans="20:20" x14ac:dyDescent="0.2">
      <c r="T4756" t="s">
        <v>4750</v>
      </c>
    </row>
    <row r="4757" spans="20:20" x14ac:dyDescent="0.2">
      <c r="T4757" t="s">
        <v>472</v>
      </c>
    </row>
    <row r="4758" spans="20:20" x14ac:dyDescent="0.2">
      <c r="T4758" t="s">
        <v>432</v>
      </c>
    </row>
    <row r="4759" spans="20:20" x14ac:dyDescent="0.2">
      <c r="T4759" t="s">
        <v>4751</v>
      </c>
    </row>
    <row r="4760" spans="20:20" x14ac:dyDescent="0.2">
      <c r="T4760" t="s">
        <v>4752</v>
      </c>
    </row>
    <row r="4761" spans="20:20" x14ac:dyDescent="0.2">
      <c r="T4761" t="s">
        <v>4753</v>
      </c>
    </row>
    <row r="4762" spans="20:20" x14ac:dyDescent="0.2">
      <c r="T4762" t="s">
        <v>4754</v>
      </c>
    </row>
    <row r="4763" spans="20:20" x14ac:dyDescent="0.2">
      <c r="T4763" t="s">
        <v>4755</v>
      </c>
    </row>
    <row r="4764" spans="20:20" x14ac:dyDescent="0.2">
      <c r="T4764" t="s">
        <v>4756</v>
      </c>
    </row>
    <row r="4765" spans="20:20" x14ac:dyDescent="0.2">
      <c r="T4765" t="s">
        <v>4757</v>
      </c>
    </row>
    <row r="4766" spans="20:20" x14ac:dyDescent="0.2">
      <c r="T4766" t="s">
        <v>4758</v>
      </c>
    </row>
    <row r="4767" spans="20:20" x14ac:dyDescent="0.2">
      <c r="T4767" t="s">
        <v>4759</v>
      </c>
    </row>
    <row r="4768" spans="20:20" x14ac:dyDescent="0.2">
      <c r="T4768" t="s">
        <v>4760</v>
      </c>
    </row>
    <row r="4769" spans="20:20" x14ac:dyDescent="0.2">
      <c r="T4769" t="s">
        <v>4761</v>
      </c>
    </row>
    <row r="4770" spans="20:20" x14ac:dyDescent="0.2">
      <c r="T4770" t="s">
        <v>4762</v>
      </c>
    </row>
    <row r="4771" spans="20:20" x14ac:dyDescent="0.2">
      <c r="T4771" t="s">
        <v>4763</v>
      </c>
    </row>
    <row r="4772" spans="20:20" x14ac:dyDescent="0.2">
      <c r="T4772" t="s">
        <v>4764</v>
      </c>
    </row>
    <row r="4773" spans="20:20" x14ac:dyDescent="0.2">
      <c r="T4773" t="s">
        <v>4765</v>
      </c>
    </row>
    <row r="4774" spans="20:20" x14ac:dyDescent="0.2">
      <c r="T4774" t="s">
        <v>4766</v>
      </c>
    </row>
    <row r="4775" spans="20:20" x14ac:dyDescent="0.2">
      <c r="T4775" t="s">
        <v>4767</v>
      </c>
    </row>
    <row r="4776" spans="20:20" x14ac:dyDescent="0.2">
      <c r="T4776" t="s">
        <v>4768</v>
      </c>
    </row>
    <row r="4777" spans="20:20" x14ac:dyDescent="0.2">
      <c r="T4777" t="s">
        <v>4769</v>
      </c>
    </row>
    <row r="4778" spans="20:20" x14ac:dyDescent="0.2">
      <c r="T4778" t="s">
        <v>4770</v>
      </c>
    </row>
    <row r="4779" spans="20:20" x14ac:dyDescent="0.2">
      <c r="T4779" t="s">
        <v>4771</v>
      </c>
    </row>
    <row r="4780" spans="20:20" x14ac:dyDescent="0.2">
      <c r="T4780" t="s">
        <v>4772</v>
      </c>
    </row>
    <row r="4781" spans="20:20" x14ac:dyDescent="0.2">
      <c r="T4781" t="s">
        <v>4773</v>
      </c>
    </row>
    <row r="4782" spans="20:20" x14ac:dyDescent="0.2">
      <c r="T4782" t="s">
        <v>4774</v>
      </c>
    </row>
    <row r="4783" spans="20:20" x14ac:dyDescent="0.2">
      <c r="T4783" t="s">
        <v>4775</v>
      </c>
    </row>
    <row r="4784" spans="20:20" x14ac:dyDescent="0.2">
      <c r="T4784" t="s">
        <v>4776</v>
      </c>
    </row>
    <row r="4785" spans="20:20" x14ac:dyDescent="0.2">
      <c r="T4785" t="s">
        <v>4777</v>
      </c>
    </row>
    <row r="4786" spans="20:20" x14ac:dyDescent="0.2">
      <c r="T4786" t="s">
        <v>4778</v>
      </c>
    </row>
    <row r="4787" spans="20:20" x14ac:dyDescent="0.2">
      <c r="T4787" t="s">
        <v>4779</v>
      </c>
    </row>
    <row r="4788" spans="20:20" x14ac:dyDescent="0.2">
      <c r="T4788" t="s">
        <v>4780</v>
      </c>
    </row>
    <row r="4789" spans="20:20" x14ac:dyDescent="0.2">
      <c r="T4789" t="s">
        <v>4781</v>
      </c>
    </row>
    <row r="4790" spans="20:20" x14ac:dyDescent="0.2">
      <c r="T4790" t="s">
        <v>4782</v>
      </c>
    </row>
    <row r="4791" spans="20:20" x14ac:dyDescent="0.2">
      <c r="T4791" t="s">
        <v>4783</v>
      </c>
    </row>
    <row r="4792" spans="20:20" x14ac:dyDescent="0.2">
      <c r="T4792" t="s">
        <v>4784</v>
      </c>
    </row>
    <row r="4793" spans="20:20" x14ac:dyDescent="0.2">
      <c r="T4793" t="s">
        <v>4785</v>
      </c>
    </row>
    <row r="4794" spans="20:20" x14ac:dyDescent="0.2">
      <c r="T4794" t="s">
        <v>4786</v>
      </c>
    </row>
    <row r="4795" spans="20:20" x14ac:dyDescent="0.2">
      <c r="T4795" t="s">
        <v>4787</v>
      </c>
    </row>
    <row r="4796" spans="20:20" x14ac:dyDescent="0.2">
      <c r="T4796" t="s">
        <v>4788</v>
      </c>
    </row>
    <row r="4797" spans="20:20" x14ac:dyDescent="0.2">
      <c r="T4797" t="s">
        <v>4789</v>
      </c>
    </row>
    <row r="4798" spans="20:20" x14ac:dyDescent="0.2">
      <c r="T4798" t="s">
        <v>4790</v>
      </c>
    </row>
    <row r="4799" spans="20:20" x14ac:dyDescent="0.2">
      <c r="T4799" t="s">
        <v>4791</v>
      </c>
    </row>
    <row r="4800" spans="20:20" x14ac:dyDescent="0.2">
      <c r="T4800" t="s">
        <v>4792</v>
      </c>
    </row>
    <row r="4801" spans="20:20" x14ac:dyDescent="0.2">
      <c r="T4801" t="s">
        <v>4793</v>
      </c>
    </row>
    <row r="4802" spans="20:20" x14ac:dyDescent="0.2">
      <c r="T4802" t="s">
        <v>4794</v>
      </c>
    </row>
    <row r="4803" spans="20:20" x14ac:dyDescent="0.2">
      <c r="T4803" t="s">
        <v>4795</v>
      </c>
    </row>
    <row r="4804" spans="20:20" x14ac:dyDescent="0.2">
      <c r="T4804" t="s">
        <v>4796</v>
      </c>
    </row>
    <row r="4805" spans="20:20" x14ac:dyDescent="0.2">
      <c r="T4805" t="s">
        <v>4797</v>
      </c>
    </row>
    <row r="4806" spans="20:20" x14ac:dyDescent="0.2">
      <c r="T4806" t="s">
        <v>4798</v>
      </c>
    </row>
    <row r="4807" spans="20:20" x14ac:dyDescent="0.2">
      <c r="T4807" t="s">
        <v>4799</v>
      </c>
    </row>
    <row r="4808" spans="20:20" x14ac:dyDescent="0.2">
      <c r="T4808" t="s">
        <v>4800</v>
      </c>
    </row>
    <row r="4809" spans="20:20" x14ac:dyDescent="0.2">
      <c r="T4809" t="s">
        <v>473</v>
      </c>
    </row>
    <row r="4810" spans="20:20" x14ac:dyDescent="0.2">
      <c r="T4810" t="s">
        <v>4801</v>
      </c>
    </row>
    <row r="4811" spans="20:20" x14ac:dyDescent="0.2">
      <c r="T4811" t="s">
        <v>4802</v>
      </c>
    </row>
    <row r="4812" spans="20:20" x14ac:dyDescent="0.2">
      <c r="T4812" t="s">
        <v>4803</v>
      </c>
    </row>
    <row r="4813" spans="20:20" x14ac:dyDescent="0.2">
      <c r="T4813" t="s">
        <v>4804</v>
      </c>
    </row>
    <row r="4814" spans="20:20" x14ac:dyDescent="0.2">
      <c r="T4814" t="s">
        <v>4805</v>
      </c>
    </row>
    <row r="4815" spans="20:20" x14ac:dyDescent="0.2">
      <c r="T4815" t="s">
        <v>4806</v>
      </c>
    </row>
    <row r="4816" spans="20:20" x14ac:dyDescent="0.2">
      <c r="T4816" t="s">
        <v>4807</v>
      </c>
    </row>
    <row r="4817" spans="20:20" x14ac:dyDescent="0.2">
      <c r="T4817" t="s">
        <v>4808</v>
      </c>
    </row>
    <row r="4818" spans="20:20" x14ac:dyDescent="0.2">
      <c r="T4818" t="s">
        <v>4809</v>
      </c>
    </row>
    <row r="4819" spans="20:20" x14ac:dyDescent="0.2">
      <c r="T4819" t="s">
        <v>4810</v>
      </c>
    </row>
    <row r="4820" spans="20:20" x14ac:dyDescent="0.2">
      <c r="T4820" t="s">
        <v>4811</v>
      </c>
    </row>
    <row r="4821" spans="20:20" x14ac:dyDescent="0.2">
      <c r="T4821" t="s">
        <v>4812</v>
      </c>
    </row>
    <row r="4822" spans="20:20" x14ac:dyDescent="0.2">
      <c r="T4822" t="s">
        <v>4813</v>
      </c>
    </row>
    <row r="4823" spans="20:20" x14ac:dyDescent="0.2">
      <c r="T4823" t="s">
        <v>4814</v>
      </c>
    </row>
    <row r="4824" spans="20:20" x14ac:dyDescent="0.2">
      <c r="T4824" t="s">
        <v>4815</v>
      </c>
    </row>
    <row r="4825" spans="20:20" x14ac:dyDescent="0.2">
      <c r="T4825" t="s">
        <v>4816</v>
      </c>
    </row>
    <row r="4826" spans="20:20" x14ac:dyDescent="0.2">
      <c r="T4826" t="s">
        <v>4817</v>
      </c>
    </row>
    <row r="4827" spans="20:20" x14ac:dyDescent="0.2">
      <c r="T4827" t="s">
        <v>4818</v>
      </c>
    </row>
    <row r="4828" spans="20:20" x14ac:dyDescent="0.2">
      <c r="T4828" t="s">
        <v>4819</v>
      </c>
    </row>
    <row r="4829" spans="20:20" x14ac:dyDescent="0.2">
      <c r="T4829" t="s">
        <v>4820</v>
      </c>
    </row>
    <row r="4830" spans="20:20" x14ac:dyDescent="0.2">
      <c r="T4830" t="s">
        <v>4821</v>
      </c>
    </row>
    <row r="4831" spans="20:20" x14ac:dyDescent="0.2">
      <c r="T4831" t="s">
        <v>4822</v>
      </c>
    </row>
    <row r="4832" spans="20:20" x14ac:dyDescent="0.2">
      <c r="T4832" t="s">
        <v>4823</v>
      </c>
    </row>
    <row r="4833" spans="20:20" x14ac:dyDescent="0.2">
      <c r="T4833" t="s">
        <v>4824</v>
      </c>
    </row>
    <row r="4834" spans="20:20" x14ac:dyDescent="0.2">
      <c r="T4834" t="s">
        <v>4825</v>
      </c>
    </row>
    <row r="4835" spans="20:20" x14ac:dyDescent="0.2">
      <c r="T4835" t="s">
        <v>4826</v>
      </c>
    </row>
    <row r="4836" spans="20:20" x14ac:dyDescent="0.2">
      <c r="T4836" t="s">
        <v>4827</v>
      </c>
    </row>
    <row r="4837" spans="20:20" x14ac:dyDescent="0.2">
      <c r="T4837" t="s">
        <v>4828</v>
      </c>
    </row>
    <row r="4838" spans="20:20" x14ac:dyDescent="0.2">
      <c r="T4838" t="s">
        <v>4829</v>
      </c>
    </row>
    <row r="4839" spans="20:20" x14ac:dyDescent="0.2">
      <c r="T4839" t="s">
        <v>4830</v>
      </c>
    </row>
    <row r="4840" spans="20:20" x14ac:dyDescent="0.2">
      <c r="T4840" t="s">
        <v>4831</v>
      </c>
    </row>
    <row r="4841" spans="20:20" x14ac:dyDescent="0.2">
      <c r="T4841" t="s">
        <v>4832</v>
      </c>
    </row>
    <row r="4842" spans="20:20" x14ac:dyDescent="0.2">
      <c r="T4842" t="s">
        <v>4833</v>
      </c>
    </row>
    <row r="4843" spans="20:20" x14ac:dyDescent="0.2">
      <c r="T4843" t="s">
        <v>4834</v>
      </c>
    </row>
    <row r="4844" spans="20:20" x14ac:dyDescent="0.2">
      <c r="T4844" t="s">
        <v>4835</v>
      </c>
    </row>
    <row r="4845" spans="20:20" x14ac:dyDescent="0.2">
      <c r="T4845" t="s">
        <v>4836</v>
      </c>
    </row>
    <row r="4846" spans="20:20" x14ac:dyDescent="0.2">
      <c r="T4846" t="s">
        <v>4837</v>
      </c>
    </row>
    <row r="4847" spans="20:20" x14ac:dyDescent="0.2">
      <c r="T4847" t="s">
        <v>4838</v>
      </c>
    </row>
    <row r="4848" spans="20:20" x14ac:dyDescent="0.2">
      <c r="T4848" t="s">
        <v>4839</v>
      </c>
    </row>
    <row r="4849" spans="20:20" x14ac:dyDescent="0.2">
      <c r="T4849" t="s">
        <v>4840</v>
      </c>
    </row>
    <row r="4850" spans="20:20" x14ac:dyDescent="0.2">
      <c r="T4850" t="s">
        <v>4841</v>
      </c>
    </row>
    <row r="4851" spans="20:20" x14ac:dyDescent="0.2">
      <c r="T4851" t="s">
        <v>4842</v>
      </c>
    </row>
    <row r="4852" spans="20:20" x14ac:dyDescent="0.2">
      <c r="T4852" t="s">
        <v>4843</v>
      </c>
    </row>
    <row r="4853" spans="20:20" x14ac:dyDescent="0.2">
      <c r="T4853" t="s">
        <v>4844</v>
      </c>
    </row>
    <row r="4854" spans="20:20" x14ac:dyDescent="0.2">
      <c r="T4854" t="s">
        <v>4845</v>
      </c>
    </row>
    <row r="4855" spans="20:20" x14ac:dyDescent="0.2">
      <c r="T4855" t="s">
        <v>4846</v>
      </c>
    </row>
    <row r="4856" spans="20:20" x14ac:dyDescent="0.2">
      <c r="T4856" t="s">
        <v>4847</v>
      </c>
    </row>
    <row r="4857" spans="20:20" x14ac:dyDescent="0.2">
      <c r="T4857" t="s">
        <v>4848</v>
      </c>
    </row>
    <row r="4858" spans="20:20" x14ac:dyDescent="0.2">
      <c r="T4858" t="s">
        <v>4844</v>
      </c>
    </row>
    <row r="4859" spans="20:20" x14ac:dyDescent="0.2">
      <c r="T4859" t="s">
        <v>4849</v>
      </c>
    </row>
    <row r="4860" spans="20:20" x14ac:dyDescent="0.2">
      <c r="T4860" t="s">
        <v>4850</v>
      </c>
    </row>
    <row r="4861" spans="20:20" x14ac:dyDescent="0.2">
      <c r="T4861" t="s">
        <v>4851</v>
      </c>
    </row>
    <row r="4862" spans="20:20" x14ac:dyDescent="0.2">
      <c r="T4862" t="s">
        <v>4852</v>
      </c>
    </row>
    <row r="4863" spans="20:20" x14ac:dyDescent="0.2">
      <c r="T4863" t="s">
        <v>4853</v>
      </c>
    </row>
    <row r="4864" spans="20:20" x14ac:dyDescent="0.2">
      <c r="T4864" t="s">
        <v>4854</v>
      </c>
    </row>
    <row r="4865" spans="20:20" x14ac:dyDescent="0.2">
      <c r="T4865" t="s">
        <v>4855</v>
      </c>
    </row>
    <row r="4866" spans="20:20" x14ac:dyDescent="0.2">
      <c r="T4866" t="s">
        <v>4856</v>
      </c>
    </row>
    <row r="4867" spans="20:20" x14ac:dyDescent="0.2">
      <c r="T4867" t="s">
        <v>4857</v>
      </c>
    </row>
    <row r="4868" spans="20:20" x14ac:dyDescent="0.2">
      <c r="T4868" t="s">
        <v>4858</v>
      </c>
    </row>
    <row r="4869" spans="20:20" x14ac:dyDescent="0.2">
      <c r="T4869" t="s">
        <v>4859</v>
      </c>
    </row>
    <row r="4870" spans="20:20" x14ac:dyDescent="0.2">
      <c r="T4870" t="s">
        <v>4844</v>
      </c>
    </row>
    <row r="4871" spans="20:20" x14ac:dyDescent="0.2">
      <c r="T4871" t="s">
        <v>4860</v>
      </c>
    </row>
    <row r="4872" spans="20:20" x14ac:dyDescent="0.2">
      <c r="T4872" t="s">
        <v>4861</v>
      </c>
    </row>
    <row r="4873" spans="20:20" x14ac:dyDescent="0.2">
      <c r="T4873" t="s">
        <v>4862</v>
      </c>
    </row>
    <row r="4874" spans="20:20" x14ac:dyDescent="0.2">
      <c r="T4874" t="s">
        <v>4863</v>
      </c>
    </row>
    <row r="4875" spans="20:20" x14ac:dyDescent="0.2">
      <c r="T4875" t="s">
        <v>472</v>
      </c>
    </row>
    <row r="4876" spans="20:20" x14ac:dyDescent="0.2">
      <c r="T4876" t="s">
        <v>476</v>
      </c>
    </row>
    <row r="4877" spans="20:20" x14ac:dyDescent="0.2">
      <c r="T4877" t="s">
        <v>4864</v>
      </c>
    </row>
    <row r="4878" spans="20:20" x14ac:dyDescent="0.2">
      <c r="T4878" t="s">
        <v>4865</v>
      </c>
    </row>
    <row r="4879" spans="20:20" x14ac:dyDescent="0.2">
      <c r="T4879" t="s">
        <v>472</v>
      </c>
    </row>
    <row r="4880" spans="20:20" x14ac:dyDescent="0.2">
      <c r="T4880" t="s">
        <v>4866</v>
      </c>
    </row>
    <row r="4881" spans="20:20" x14ac:dyDescent="0.2">
      <c r="T4881" t="s">
        <v>4867</v>
      </c>
    </row>
    <row r="4882" spans="20:20" x14ac:dyDescent="0.2">
      <c r="T4882" t="s">
        <v>4868</v>
      </c>
    </row>
    <row r="4883" spans="20:20" x14ac:dyDescent="0.2">
      <c r="T4883" t="s">
        <v>4869</v>
      </c>
    </row>
    <row r="4884" spans="20:20" x14ac:dyDescent="0.2">
      <c r="T4884" t="s">
        <v>4870</v>
      </c>
    </row>
    <row r="4885" spans="20:20" x14ac:dyDescent="0.2">
      <c r="T4885" t="s">
        <v>4871</v>
      </c>
    </row>
    <row r="4886" spans="20:20" x14ac:dyDescent="0.2">
      <c r="T4886" t="s">
        <v>4872</v>
      </c>
    </row>
    <row r="4887" spans="20:20" x14ac:dyDescent="0.2">
      <c r="T4887" t="s">
        <v>4873</v>
      </c>
    </row>
    <row r="4888" spans="20:20" x14ac:dyDescent="0.2">
      <c r="T4888" t="s">
        <v>4874</v>
      </c>
    </row>
    <row r="4889" spans="20:20" x14ac:dyDescent="0.2">
      <c r="T4889" t="s">
        <v>4875</v>
      </c>
    </row>
    <row r="4890" spans="20:20" x14ac:dyDescent="0.2">
      <c r="T4890" t="s">
        <v>4876</v>
      </c>
    </row>
    <row r="4891" spans="20:20" x14ac:dyDescent="0.2">
      <c r="T4891" t="s">
        <v>638</v>
      </c>
    </row>
    <row r="4892" spans="20:20" x14ac:dyDescent="0.2">
      <c r="T4892" t="s">
        <v>4877</v>
      </c>
    </row>
    <row r="4893" spans="20:20" x14ac:dyDescent="0.2">
      <c r="T4893" t="s">
        <v>4878</v>
      </c>
    </row>
    <row r="4894" spans="20:20" x14ac:dyDescent="0.2">
      <c r="T4894" t="s">
        <v>4879</v>
      </c>
    </row>
    <row r="4895" spans="20:20" x14ac:dyDescent="0.2">
      <c r="T4895" t="s">
        <v>4880</v>
      </c>
    </row>
    <row r="4896" spans="20:20" x14ac:dyDescent="0.2">
      <c r="T4896" t="s">
        <v>4881</v>
      </c>
    </row>
    <row r="4897" spans="20:20" x14ac:dyDescent="0.2">
      <c r="T4897" t="s">
        <v>4882</v>
      </c>
    </row>
    <row r="4898" spans="20:20" x14ac:dyDescent="0.2">
      <c r="T4898" t="s">
        <v>4883</v>
      </c>
    </row>
    <row r="4899" spans="20:20" x14ac:dyDescent="0.2">
      <c r="T4899" t="s">
        <v>4884</v>
      </c>
    </row>
    <row r="4900" spans="20:20" x14ac:dyDescent="0.2">
      <c r="T4900" t="s">
        <v>4885</v>
      </c>
    </row>
    <row r="4901" spans="20:20" x14ac:dyDescent="0.2">
      <c r="T4901" t="s">
        <v>4886</v>
      </c>
    </row>
    <row r="4902" spans="20:20" x14ac:dyDescent="0.2">
      <c r="T4902" t="s">
        <v>4887</v>
      </c>
    </row>
    <row r="4903" spans="20:20" x14ac:dyDescent="0.2">
      <c r="T4903" t="s">
        <v>4888</v>
      </c>
    </row>
    <row r="4904" spans="20:20" x14ac:dyDescent="0.2">
      <c r="T4904" t="s">
        <v>4889</v>
      </c>
    </row>
    <row r="4905" spans="20:20" x14ac:dyDescent="0.2">
      <c r="T4905" t="s">
        <v>4890</v>
      </c>
    </row>
    <row r="4906" spans="20:20" x14ac:dyDescent="0.2">
      <c r="T4906" t="s">
        <v>4891</v>
      </c>
    </row>
    <row r="4907" spans="20:20" x14ac:dyDescent="0.2">
      <c r="T4907" t="s">
        <v>4892</v>
      </c>
    </row>
    <row r="4908" spans="20:20" x14ac:dyDescent="0.2">
      <c r="T4908" t="s">
        <v>4893</v>
      </c>
    </row>
    <row r="4909" spans="20:20" x14ac:dyDescent="0.2">
      <c r="T4909" t="s">
        <v>638</v>
      </c>
    </row>
    <row r="4910" spans="20:20" x14ac:dyDescent="0.2">
      <c r="T4910" t="s">
        <v>4894</v>
      </c>
    </row>
    <row r="4911" spans="20:20" x14ac:dyDescent="0.2">
      <c r="T4911" t="s">
        <v>432</v>
      </c>
    </row>
    <row r="4912" spans="20:20" x14ac:dyDescent="0.2">
      <c r="T4912" t="s">
        <v>4895</v>
      </c>
    </row>
    <row r="4913" spans="20:20" x14ac:dyDescent="0.2">
      <c r="T4913" t="s">
        <v>4896</v>
      </c>
    </row>
    <row r="4914" spans="20:20" x14ac:dyDescent="0.2">
      <c r="T4914" t="s">
        <v>4897</v>
      </c>
    </row>
    <row r="4915" spans="20:20" x14ac:dyDescent="0.2">
      <c r="T4915" t="s">
        <v>4898</v>
      </c>
    </row>
    <row r="4916" spans="20:20" x14ac:dyDescent="0.2">
      <c r="T4916" t="s">
        <v>4899</v>
      </c>
    </row>
    <row r="4917" spans="20:20" x14ac:dyDescent="0.2">
      <c r="T4917" t="s">
        <v>4900</v>
      </c>
    </row>
    <row r="4918" spans="20:20" x14ac:dyDescent="0.2">
      <c r="T4918" t="s">
        <v>4901</v>
      </c>
    </row>
    <row r="4919" spans="20:20" x14ac:dyDescent="0.2">
      <c r="T4919" t="s">
        <v>4902</v>
      </c>
    </row>
    <row r="4920" spans="20:20" x14ac:dyDescent="0.2">
      <c r="T4920" t="s">
        <v>4903</v>
      </c>
    </row>
    <row r="4921" spans="20:20" x14ac:dyDescent="0.2">
      <c r="T4921" t="s">
        <v>4904</v>
      </c>
    </row>
    <row r="4922" spans="20:20" x14ac:dyDescent="0.2">
      <c r="T4922" t="s">
        <v>4905</v>
      </c>
    </row>
    <row r="4923" spans="20:20" x14ac:dyDescent="0.2">
      <c r="T4923" t="s">
        <v>4906</v>
      </c>
    </row>
    <row r="4924" spans="20:20" x14ac:dyDescent="0.2">
      <c r="T4924" t="s">
        <v>4907</v>
      </c>
    </row>
    <row r="4925" spans="20:20" x14ac:dyDescent="0.2">
      <c r="T4925" t="s">
        <v>4908</v>
      </c>
    </row>
    <row r="4926" spans="20:20" x14ac:dyDescent="0.2">
      <c r="T4926" t="s">
        <v>4909</v>
      </c>
    </row>
    <row r="4927" spans="20:20" x14ac:dyDescent="0.2">
      <c r="T4927" t="s">
        <v>4910</v>
      </c>
    </row>
    <row r="4928" spans="20:20" x14ac:dyDescent="0.2">
      <c r="T4928" t="s">
        <v>4911</v>
      </c>
    </row>
    <row r="4929" spans="20:20" x14ac:dyDescent="0.2">
      <c r="T4929" t="s">
        <v>4912</v>
      </c>
    </row>
    <row r="4930" spans="20:20" x14ac:dyDescent="0.2">
      <c r="T4930" t="s">
        <v>4913</v>
      </c>
    </row>
    <row r="4931" spans="20:20" x14ac:dyDescent="0.2">
      <c r="T4931" t="s">
        <v>4914</v>
      </c>
    </row>
    <row r="4932" spans="20:20" x14ac:dyDescent="0.2">
      <c r="T4932" t="s">
        <v>4915</v>
      </c>
    </row>
    <row r="4933" spans="20:20" x14ac:dyDescent="0.2">
      <c r="T4933" t="s">
        <v>4916</v>
      </c>
    </row>
    <row r="4934" spans="20:20" x14ac:dyDescent="0.2">
      <c r="T4934" t="s">
        <v>4917</v>
      </c>
    </row>
    <row r="4935" spans="20:20" x14ac:dyDescent="0.2">
      <c r="T4935" t="s">
        <v>4918</v>
      </c>
    </row>
    <row r="4936" spans="20:20" x14ac:dyDescent="0.2">
      <c r="T4936" t="s">
        <v>4919</v>
      </c>
    </row>
    <row r="4937" spans="20:20" x14ac:dyDescent="0.2">
      <c r="T4937" t="s">
        <v>4920</v>
      </c>
    </row>
    <row r="4938" spans="20:20" x14ac:dyDescent="0.2">
      <c r="T4938" t="s">
        <v>4921</v>
      </c>
    </row>
    <row r="4939" spans="20:20" x14ac:dyDescent="0.2">
      <c r="T4939" t="s">
        <v>4922</v>
      </c>
    </row>
    <row r="4940" spans="20:20" x14ac:dyDescent="0.2">
      <c r="T4940" t="s">
        <v>4923</v>
      </c>
    </row>
    <row r="4941" spans="20:20" x14ac:dyDescent="0.2">
      <c r="T4941" t="s">
        <v>4924</v>
      </c>
    </row>
    <row r="4942" spans="20:20" x14ac:dyDescent="0.2">
      <c r="T4942" t="s">
        <v>4925</v>
      </c>
    </row>
    <row r="4943" spans="20:20" x14ac:dyDescent="0.2">
      <c r="T4943" t="s">
        <v>4926</v>
      </c>
    </row>
    <row r="4944" spans="20:20" x14ac:dyDescent="0.2">
      <c r="T4944" t="s">
        <v>4927</v>
      </c>
    </row>
    <row r="4945" spans="20:20" x14ac:dyDescent="0.2">
      <c r="T4945" t="s">
        <v>496</v>
      </c>
    </row>
    <row r="4946" spans="20:20" x14ac:dyDescent="0.2">
      <c r="T4946" t="s">
        <v>4928</v>
      </c>
    </row>
    <row r="4947" spans="20:20" x14ac:dyDescent="0.2">
      <c r="T4947" t="s">
        <v>4929</v>
      </c>
    </row>
    <row r="4948" spans="20:20" x14ac:dyDescent="0.2">
      <c r="T4948" t="s">
        <v>4930</v>
      </c>
    </row>
    <row r="4949" spans="20:20" x14ac:dyDescent="0.2">
      <c r="T4949" t="s">
        <v>4931</v>
      </c>
    </row>
    <row r="4950" spans="20:20" x14ac:dyDescent="0.2">
      <c r="T4950" t="s">
        <v>4932</v>
      </c>
    </row>
    <row r="4951" spans="20:20" x14ac:dyDescent="0.2">
      <c r="T4951" t="s">
        <v>4933</v>
      </c>
    </row>
    <row r="4952" spans="20:20" x14ac:dyDescent="0.2">
      <c r="T4952" t="s">
        <v>4934</v>
      </c>
    </row>
    <row r="4953" spans="20:20" x14ac:dyDescent="0.2">
      <c r="T4953" t="s">
        <v>4935</v>
      </c>
    </row>
    <row r="4954" spans="20:20" x14ac:dyDescent="0.2">
      <c r="T4954" t="s">
        <v>4936</v>
      </c>
    </row>
    <row r="4955" spans="20:20" x14ac:dyDescent="0.2">
      <c r="T4955" t="s">
        <v>4937</v>
      </c>
    </row>
    <row r="4956" spans="20:20" x14ac:dyDescent="0.2">
      <c r="T4956" t="s">
        <v>4938</v>
      </c>
    </row>
    <row r="4957" spans="20:20" x14ac:dyDescent="0.2">
      <c r="T4957" t="s">
        <v>4939</v>
      </c>
    </row>
    <row r="4958" spans="20:20" x14ac:dyDescent="0.2">
      <c r="T4958" t="s">
        <v>4940</v>
      </c>
    </row>
    <row r="4959" spans="20:20" x14ac:dyDescent="0.2">
      <c r="T4959" t="s">
        <v>4941</v>
      </c>
    </row>
    <row r="4960" spans="20:20" x14ac:dyDescent="0.2">
      <c r="T4960" t="s">
        <v>4942</v>
      </c>
    </row>
    <row r="4961" spans="20:20" x14ac:dyDescent="0.2">
      <c r="T4961" t="s">
        <v>472</v>
      </c>
    </row>
    <row r="4962" spans="20:20" x14ac:dyDescent="0.2">
      <c r="T4962" t="s">
        <v>473</v>
      </c>
    </row>
    <row r="4963" spans="20:20" x14ac:dyDescent="0.2">
      <c r="T4963" t="s">
        <v>4943</v>
      </c>
    </row>
    <row r="4964" spans="20:20" x14ac:dyDescent="0.2">
      <c r="T4964" t="s">
        <v>4944</v>
      </c>
    </row>
    <row r="4965" spans="20:20" x14ac:dyDescent="0.2">
      <c r="T4965" t="s">
        <v>4945</v>
      </c>
    </row>
    <row r="4966" spans="20:20" x14ac:dyDescent="0.2">
      <c r="T4966" t="s">
        <v>4946</v>
      </c>
    </row>
    <row r="4967" spans="20:20" x14ac:dyDescent="0.2">
      <c r="T4967" t="s">
        <v>496</v>
      </c>
    </row>
    <row r="4968" spans="20:20" x14ac:dyDescent="0.2">
      <c r="T4968" t="s">
        <v>4947</v>
      </c>
    </row>
    <row r="4969" spans="20:20" x14ac:dyDescent="0.2">
      <c r="T4969" t="s">
        <v>4948</v>
      </c>
    </row>
    <row r="4970" spans="20:20" x14ac:dyDescent="0.2">
      <c r="T4970" t="s">
        <v>4949</v>
      </c>
    </row>
    <row r="4971" spans="20:20" x14ac:dyDescent="0.2">
      <c r="T4971" t="s">
        <v>496</v>
      </c>
    </row>
    <row r="4972" spans="20:20" x14ac:dyDescent="0.2">
      <c r="T4972" t="s">
        <v>4521</v>
      </c>
    </row>
    <row r="4973" spans="20:20" x14ac:dyDescent="0.2">
      <c r="T4973" t="s">
        <v>4950</v>
      </c>
    </row>
    <row r="4974" spans="20:20" x14ac:dyDescent="0.2">
      <c r="T4974" t="s">
        <v>4951</v>
      </c>
    </row>
    <row r="4975" spans="20:20" x14ac:dyDescent="0.2">
      <c r="T4975" t="s">
        <v>4952</v>
      </c>
    </row>
    <row r="4976" spans="20:20" x14ac:dyDescent="0.2">
      <c r="T4976" t="s">
        <v>4953</v>
      </c>
    </row>
    <row r="4977" spans="20:20" x14ac:dyDescent="0.2">
      <c r="T4977" t="s">
        <v>4954</v>
      </c>
    </row>
    <row r="4978" spans="20:20" x14ac:dyDescent="0.2">
      <c r="T4978" t="s">
        <v>4955</v>
      </c>
    </row>
    <row r="4979" spans="20:20" x14ac:dyDescent="0.2">
      <c r="T4979" t="s">
        <v>4956</v>
      </c>
    </row>
    <row r="4980" spans="20:20" x14ac:dyDescent="0.2">
      <c r="T4980" t="s">
        <v>4957</v>
      </c>
    </row>
    <row r="4981" spans="20:20" x14ac:dyDescent="0.2">
      <c r="T4981" t="s">
        <v>4958</v>
      </c>
    </row>
    <row r="4982" spans="20:20" x14ac:dyDescent="0.2">
      <c r="T4982" t="s">
        <v>4959</v>
      </c>
    </row>
    <row r="4983" spans="20:20" x14ac:dyDescent="0.2">
      <c r="T4983" t="s">
        <v>4960</v>
      </c>
    </row>
    <row r="4984" spans="20:20" x14ac:dyDescent="0.2">
      <c r="T4984" t="s">
        <v>4961</v>
      </c>
    </row>
    <row r="4985" spans="20:20" x14ac:dyDescent="0.2">
      <c r="T4985" t="s">
        <v>4962</v>
      </c>
    </row>
    <row r="4986" spans="20:20" x14ac:dyDescent="0.2">
      <c r="T4986" t="s">
        <v>4963</v>
      </c>
    </row>
    <row r="4987" spans="20:20" x14ac:dyDescent="0.2">
      <c r="T4987" t="s">
        <v>4964</v>
      </c>
    </row>
    <row r="4988" spans="20:20" x14ac:dyDescent="0.2">
      <c r="T4988" t="s">
        <v>4965</v>
      </c>
    </row>
    <row r="4989" spans="20:20" x14ac:dyDescent="0.2">
      <c r="T4989" t="s">
        <v>4966</v>
      </c>
    </row>
    <row r="4990" spans="20:20" x14ac:dyDescent="0.2">
      <c r="T4990" t="s">
        <v>4967</v>
      </c>
    </row>
    <row r="4991" spans="20:20" x14ac:dyDescent="0.2">
      <c r="T4991" t="s">
        <v>4968</v>
      </c>
    </row>
    <row r="4992" spans="20:20" x14ac:dyDescent="0.2">
      <c r="T4992" t="s">
        <v>4969</v>
      </c>
    </row>
    <row r="4993" spans="20:20" x14ac:dyDescent="0.2">
      <c r="T4993" t="s">
        <v>4970</v>
      </c>
    </row>
    <row r="4994" spans="20:20" x14ac:dyDescent="0.2">
      <c r="T4994" t="s">
        <v>4971</v>
      </c>
    </row>
    <row r="4995" spans="20:20" x14ac:dyDescent="0.2">
      <c r="T4995" t="s">
        <v>496</v>
      </c>
    </row>
    <row r="4996" spans="20:20" x14ac:dyDescent="0.2">
      <c r="T4996" t="s">
        <v>4972</v>
      </c>
    </row>
    <row r="4997" spans="20:20" x14ac:dyDescent="0.2">
      <c r="T4997" t="s">
        <v>4973</v>
      </c>
    </row>
    <row r="4998" spans="20:20" x14ac:dyDescent="0.2">
      <c r="T4998" t="s">
        <v>4974</v>
      </c>
    </row>
    <row r="4999" spans="20:20" x14ac:dyDescent="0.2">
      <c r="T4999" t="s">
        <v>4975</v>
      </c>
    </row>
    <row r="5000" spans="20:20" x14ac:dyDescent="0.2">
      <c r="T5000" t="s">
        <v>496</v>
      </c>
    </row>
    <row r="5001" spans="20:20" x14ac:dyDescent="0.2">
      <c r="T5001" t="s">
        <v>4976</v>
      </c>
    </row>
    <row r="5002" spans="20:20" x14ac:dyDescent="0.2">
      <c r="T5002" t="s">
        <v>2652</v>
      </c>
    </row>
    <row r="5003" spans="20:20" x14ac:dyDescent="0.2">
      <c r="T5003" t="s">
        <v>4977</v>
      </c>
    </row>
    <row r="5004" spans="20:20" x14ac:dyDescent="0.2">
      <c r="T5004" t="s">
        <v>4978</v>
      </c>
    </row>
    <row r="5005" spans="20:20" x14ac:dyDescent="0.2">
      <c r="T5005" t="s">
        <v>4979</v>
      </c>
    </row>
    <row r="5006" spans="20:20" x14ac:dyDescent="0.2">
      <c r="T5006" t="s">
        <v>4980</v>
      </c>
    </row>
    <row r="5007" spans="20:20" x14ac:dyDescent="0.2">
      <c r="T5007" t="s">
        <v>4981</v>
      </c>
    </row>
    <row r="5008" spans="20:20" x14ac:dyDescent="0.2">
      <c r="T5008" t="s">
        <v>4982</v>
      </c>
    </row>
    <row r="5009" spans="20:20" x14ac:dyDescent="0.2">
      <c r="T5009" t="s">
        <v>4983</v>
      </c>
    </row>
    <row r="5010" spans="20:20" x14ac:dyDescent="0.2">
      <c r="T5010" t="s">
        <v>4984</v>
      </c>
    </row>
    <row r="5011" spans="20:20" x14ac:dyDescent="0.2">
      <c r="T5011" t="s">
        <v>4985</v>
      </c>
    </row>
    <row r="5012" spans="20:20" x14ac:dyDescent="0.2">
      <c r="T5012" t="s">
        <v>4986</v>
      </c>
    </row>
    <row r="5013" spans="20:20" x14ac:dyDescent="0.2">
      <c r="T5013" t="s">
        <v>472</v>
      </c>
    </row>
    <row r="5014" spans="20:20" x14ac:dyDescent="0.2">
      <c r="T5014" t="s">
        <v>1660</v>
      </c>
    </row>
    <row r="5015" spans="20:20" x14ac:dyDescent="0.2">
      <c r="T5015" t="s">
        <v>4987</v>
      </c>
    </row>
    <row r="5016" spans="20:20" x14ac:dyDescent="0.2">
      <c r="T5016" t="s">
        <v>4988</v>
      </c>
    </row>
    <row r="5017" spans="20:20" x14ac:dyDescent="0.2">
      <c r="T5017" t="s">
        <v>4989</v>
      </c>
    </row>
    <row r="5018" spans="20:20" x14ac:dyDescent="0.2">
      <c r="T5018" t="s">
        <v>4990</v>
      </c>
    </row>
    <row r="5019" spans="20:20" x14ac:dyDescent="0.2">
      <c r="T5019" t="s">
        <v>4991</v>
      </c>
    </row>
    <row r="5020" spans="20:20" x14ac:dyDescent="0.2">
      <c r="T5020" t="s">
        <v>4992</v>
      </c>
    </row>
    <row r="5021" spans="20:20" x14ac:dyDescent="0.2">
      <c r="T5021" t="s">
        <v>4993</v>
      </c>
    </row>
    <row r="5022" spans="20:20" x14ac:dyDescent="0.2">
      <c r="T5022" t="s">
        <v>496</v>
      </c>
    </row>
    <row r="5023" spans="20:20" x14ac:dyDescent="0.2">
      <c r="T5023" t="s">
        <v>4994</v>
      </c>
    </row>
    <row r="5024" spans="20:20" x14ac:dyDescent="0.2">
      <c r="T5024" t="s">
        <v>4995</v>
      </c>
    </row>
    <row r="5025" spans="20:20" x14ac:dyDescent="0.2">
      <c r="T5025" t="s">
        <v>4996</v>
      </c>
    </row>
    <row r="5026" spans="20:20" x14ac:dyDescent="0.2">
      <c r="T5026" t="s">
        <v>2060</v>
      </c>
    </row>
    <row r="5027" spans="20:20" x14ac:dyDescent="0.2">
      <c r="T5027" t="s">
        <v>4997</v>
      </c>
    </row>
    <row r="5028" spans="20:20" x14ac:dyDescent="0.2">
      <c r="T5028" t="s">
        <v>764</v>
      </c>
    </row>
    <row r="5029" spans="20:20" x14ac:dyDescent="0.2">
      <c r="T5029" t="s">
        <v>4998</v>
      </c>
    </row>
    <row r="5030" spans="20:20" x14ac:dyDescent="0.2">
      <c r="T5030" t="s">
        <v>4999</v>
      </c>
    </row>
    <row r="5031" spans="20:20" x14ac:dyDescent="0.2">
      <c r="T5031" t="s">
        <v>5000</v>
      </c>
    </row>
    <row r="5032" spans="20:20" x14ac:dyDescent="0.2">
      <c r="T5032" t="s">
        <v>5001</v>
      </c>
    </row>
    <row r="5033" spans="20:20" x14ac:dyDescent="0.2">
      <c r="T5033" t="s">
        <v>5002</v>
      </c>
    </row>
    <row r="5034" spans="20:20" x14ac:dyDescent="0.2">
      <c r="T5034" t="s">
        <v>5003</v>
      </c>
    </row>
    <row r="5035" spans="20:20" x14ac:dyDescent="0.2">
      <c r="T5035" t="s">
        <v>5004</v>
      </c>
    </row>
    <row r="5036" spans="20:20" x14ac:dyDescent="0.2">
      <c r="T5036" t="s">
        <v>5005</v>
      </c>
    </row>
    <row r="5037" spans="20:20" x14ac:dyDescent="0.2">
      <c r="T5037" t="s">
        <v>5006</v>
      </c>
    </row>
    <row r="5038" spans="20:20" x14ac:dyDescent="0.2">
      <c r="T5038" t="s">
        <v>5007</v>
      </c>
    </row>
    <row r="5039" spans="20:20" x14ac:dyDescent="0.2">
      <c r="T5039" t="s">
        <v>5008</v>
      </c>
    </row>
    <row r="5040" spans="20:20" x14ac:dyDescent="0.2">
      <c r="T5040" t="s">
        <v>5009</v>
      </c>
    </row>
    <row r="5041" spans="20:20" x14ac:dyDescent="0.2">
      <c r="T5041" t="s">
        <v>4998</v>
      </c>
    </row>
    <row r="5042" spans="20:20" x14ac:dyDescent="0.2">
      <c r="T5042" t="s">
        <v>5010</v>
      </c>
    </row>
    <row r="5043" spans="20:20" x14ac:dyDescent="0.2">
      <c r="T5043" t="s">
        <v>5011</v>
      </c>
    </row>
    <row r="5044" spans="20:20" x14ac:dyDescent="0.2">
      <c r="T5044" t="s">
        <v>5012</v>
      </c>
    </row>
    <row r="5045" spans="20:20" x14ac:dyDescent="0.2">
      <c r="T5045" t="s">
        <v>5013</v>
      </c>
    </row>
    <row r="5046" spans="20:20" x14ac:dyDescent="0.2">
      <c r="T5046" t="s">
        <v>5014</v>
      </c>
    </row>
    <row r="5047" spans="20:20" x14ac:dyDescent="0.2">
      <c r="T5047" t="s">
        <v>5015</v>
      </c>
    </row>
    <row r="5048" spans="20:20" x14ac:dyDescent="0.2">
      <c r="T5048" t="s">
        <v>5016</v>
      </c>
    </row>
    <row r="5049" spans="20:20" x14ac:dyDescent="0.2">
      <c r="T5049" t="s">
        <v>5017</v>
      </c>
    </row>
    <row r="5050" spans="20:20" x14ac:dyDescent="0.2">
      <c r="T5050" t="s">
        <v>496</v>
      </c>
    </row>
    <row r="5051" spans="20:20" x14ac:dyDescent="0.2">
      <c r="T5051" t="s">
        <v>516</v>
      </c>
    </row>
    <row r="5052" spans="20:20" x14ac:dyDescent="0.2">
      <c r="T5052" t="s">
        <v>5018</v>
      </c>
    </row>
    <row r="5053" spans="20:20" x14ac:dyDescent="0.2">
      <c r="T5053" t="s">
        <v>2521</v>
      </c>
    </row>
    <row r="5054" spans="20:20" x14ac:dyDescent="0.2">
      <c r="T5054" t="s">
        <v>5019</v>
      </c>
    </row>
    <row r="5055" spans="20:20" x14ac:dyDescent="0.2">
      <c r="T5055" t="s">
        <v>2522</v>
      </c>
    </row>
    <row r="5056" spans="20:20" x14ac:dyDescent="0.2">
      <c r="T5056" t="s">
        <v>5020</v>
      </c>
    </row>
    <row r="5057" spans="20:20" x14ac:dyDescent="0.2">
      <c r="T5057" t="s">
        <v>5021</v>
      </c>
    </row>
    <row r="5058" spans="20:20" x14ac:dyDescent="0.2">
      <c r="T5058" t="s">
        <v>5022</v>
      </c>
    </row>
    <row r="5059" spans="20:20" x14ac:dyDescent="0.2">
      <c r="T5059" t="s">
        <v>5023</v>
      </c>
    </row>
    <row r="5060" spans="20:20" x14ac:dyDescent="0.2">
      <c r="T5060" t="s">
        <v>5024</v>
      </c>
    </row>
    <row r="5061" spans="20:20" x14ac:dyDescent="0.2">
      <c r="T5061" t="s">
        <v>5025</v>
      </c>
    </row>
    <row r="5062" spans="20:20" x14ac:dyDescent="0.2">
      <c r="T5062" t="s">
        <v>5026</v>
      </c>
    </row>
    <row r="5063" spans="20:20" x14ac:dyDescent="0.2">
      <c r="T5063" t="s">
        <v>5027</v>
      </c>
    </row>
    <row r="5064" spans="20:20" x14ac:dyDescent="0.2">
      <c r="T5064" t="s">
        <v>5028</v>
      </c>
    </row>
    <row r="5065" spans="20:20" x14ac:dyDescent="0.2">
      <c r="T5065" t="s">
        <v>5029</v>
      </c>
    </row>
    <row r="5066" spans="20:20" x14ac:dyDescent="0.2">
      <c r="T5066" t="s">
        <v>5030</v>
      </c>
    </row>
    <row r="5067" spans="20:20" x14ac:dyDescent="0.2">
      <c r="T5067" t="s">
        <v>5031</v>
      </c>
    </row>
    <row r="5068" spans="20:20" x14ac:dyDescent="0.2">
      <c r="T5068" t="s">
        <v>5032</v>
      </c>
    </row>
    <row r="5069" spans="20:20" x14ac:dyDescent="0.2">
      <c r="T5069" t="s">
        <v>5033</v>
      </c>
    </row>
    <row r="5070" spans="20:20" x14ac:dyDescent="0.2">
      <c r="T5070" t="s">
        <v>5034</v>
      </c>
    </row>
    <row r="5071" spans="20:20" x14ac:dyDescent="0.2">
      <c r="T5071" t="s">
        <v>5035</v>
      </c>
    </row>
    <row r="5072" spans="20:20" x14ac:dyDescent="0.2">
      <c r="T5072" t="s">
        <v>5036</v>
      </c>
    </row>
    <row r="5073" spans="20:20" x14ac:dyDescent="0.2">
      <c r="T5073" t="s">
        <v>5037</v>
      </c>
    </row>
    <row r="5074" spans="20:20" x14ac:dyDescent="0.2">
      <c r="T5074" t="s">
        <v>5038</v>
      </c>
    </row>
    <row r="5075" spans="20:20" x14ac:dyDescent="0.2">
      <c r="T5075" t="s">
        <v>5039</v>
      </c>
    </row>
    <row r="5076" spans="20:20" x14ac:dyDescent="0.2">
      <c r="T5076" t="s">
        <v>5040</v>
      </c>
    </row>
    <row r="5077" spans="20:20" x14ac:dyDescent="0.2">
      <c r="T5077" t="s">
        <v>5041</v>
      </c>
    </row>
    <row r="5078" spans="20:20" x14ac:dyDescent="0.2">
      <c r="T5078" t="s">
        <v>5042</v>
      </c>
    </row>
    <row r="5079" spans="20:20" x14ac:dyDescent="0.2">
      <c r="T5079" t="s">
        <v>5043</v>
      </c>
    </row>
    <row r="5080" spans="20:20" x14ac:dyDescent="0.2">
      <c r="T5080" t="s">
        <v>5044</v>
      </c>
    </row>
    <row r="5081" spans="20:20" x14ac:dyDescent="0.2">
      <c r="T5081" t="s">
        <v>5045</v>
      </c>
    </row>
    <row r="5082" spans="20:20" x14ac:dyDescent="0.2">
      <c r="T5082" t="s">
        <v>5046</v>
      </c>
    </row>
    <row r="5083" spans="20:20" x14ac:dyDescent="0.2">
      <c r="T5083" t="s">
        <v>5047</v>
      </c>
    </row>
    <row r="5084" spans="20:20" x14ac:dyDescent="0.2">
      <c r="T5084" t="s">
        <v>5048</v>
      </c>
    </row>
    <row r="5085" spans="20:20" x14ac:dyDescent="0.2">
      <c r="T5085" t="s">
        <v>5049</v>
      </c>
    </row>
    <row r="5086" spans="20:20" x14ac:dyDescent="0.2">
      <c r="T5086" t="s">
        <v>5050</v>
      </c>
    </row>
    <row r="5087" spans="20:20" x14ac:dyDescent="0.2">
      <c r="T5087" t="s">
        <v>5051</v>
      </c>
    </row>
    <row r="5088" spans="20:20" x14ac:dyDescent="0.2">
      <c r="T5088" t="s">
        <v>5052</v>
      </c>
    </row>
    <row r="5089" spans="20:20" x14ac:dyDescent="0.2">
      <c r="T5089" t="s">
        <v>5053</v>
      </c>
    </row>
    <row r="5090" spans="20:20" x14ac:dyDescent="0.2">
      <c r="T5090" t="s">
        <v>5054</v>
      </c>
    </row>
    <row r="5091" spans="20:20" x14ac:dyDescent="0.2">
      <c r="T5091" t="s">
        <v>5055</v>
      </c>
    </row>
    <row r="5092" spans="20:20" x14ac:dyDescent="0.2">
      <c r="T5092" t="s">
        <v>5056</v>
      </c>
    </row>
    <row r="5093" spans="20:20" x14ac:dyDescent="0.2">
      <c r="T5093" t="s">
        <v>5057</v>
      </c>
    </row>
    <row r="5094" spans="20:20" x14ac:dyDescent="0.2">
      <c r="T5094" t="s">
        <v>5058</v>
      </c>
    </row>
    <row r="5095" spans="20:20" x14ac:dyDescent="0.2">
      <c r="T5095" t="s">
        <v>5059</v>
      </c>
    </row>
    <row r="5096" spans="20:20" x14ac:dyDescent="0.2">
      <c r="T5096" t="s">
        <v>5060</v>
      </c>
    </row>
    <row r="5097" spans="20:20" x14ac:dyDescent="0.2">
      <c r="T5097" t="s">
        <v>5061</v>
      </c>
    </row>
    <row r="5098" spans="20:20" x14ac:dyDescent="0.2">
      <c r="T5098" t="s">
        <v>5062</v>
      </c>
    </row>
    <row r="5099" spans="20:20" x14ac:dyDescent="0.2">
      <c r="T5099" t="s">
        <v>5063</v>
      </c>
    </row>
    <row r="5100" spans="20:20" x14ac:dyDescent="0.2">
      <c r="T5100" t="s">
        <v>5064</v>
      </c>
    </row>
    <row r="5101" spans="20:20" x14ac:dyDescent="0.2">
      <c r="T5101" t="s">
        <v>5065</v>
      </c>
    </row>
    <row r="5102" spans="20:20" x14ac:dyDescent="0.2">
      <c r="T5102" t="s">
        <v>2115</v>
      </c>
    </row>
    <row r="5103" spans="20:20" x14ac:dyDescent="0.2">
      <c r="T5103" t="s">
        <v>5066</v>
      </c>
    </row>
    <row r="5104" spans="20:20" x14ac:dyDescent="0.2">
      <c r="T5104" t="s">
        <v>764</v>
      </c>
    </row>
    <row r="5105" spans="20:20" x14ac:dyDescent="0.2">
      <c r="T5105" t="s">
        <v>5067</v>
      </c>
    </row>
    <row r="5106" spans="20:20" x14ac:dyDescent="0.2">
      <c r="T5106" t="s">
        <v>5068</v>
      </c>
    </row>
    <row r="5107" spans="20:20" x14ac:dyDescent="0.2">
      <c r="T5107" t="s">
        <v>5069</v>
      </c>
    </row>
    <row r="5108" spans="20:20" x14ac:dyDescent="0.2">
      <c r="T5108" t="s">
        <v>5070</v>
      </c>
    </row>
    <row r="5109" spans="20:20" x14ac:dyDescent="0.2">
      <c r="T5109" t="s">
        <v>5071</v>
      </c>
    </row>
    <row r="5110" spans="20:20" x14ac:dyDescent="0.2">
      <c r="T5110" t="s">
        <v>5072</v>
      </c>
    </row>
    <row r="5111" spans="20:20" x14ac:dyDescent="0.2">
      <c r="T5111" t="s">
        <v>5073</v>
      </c>
    </row>
    <row r="5112" spans="20:20" x14ac:dyDescent="0.2">
      <c r="T5112" t="s">
        <v>5074</v>
      </c>
    </row>
    <row r="5113" spans="20:20" x14ac:dyDescent="0.2">
      <c r="T5113" t="s">
        <v>5075</v>
      </c>
    </row>
    <row r="5114" spans="20:20" x14ac:dyDescent="0.2">
      <c r="T5114" t="s">
        <v>5076</v>
      </c>
    </row>
    <row r="5115" spans="20:20" x14ac:dyDescent="0.2">
      <c r="T5115" t="s">
        <v>5077</v>
      </c>
    </row>
    <row r="5116" spans="20:20" x14ac:dyDescent="0.2">
      <c r="T5116" t="s">
        <v>5078</v>
      </c>
    </row>
    <row r="5117" spans="20:20" x14ac:dyDescent="0.2">
      <c r="T5117" t="s">
        <v>5079</v>
      </c>
    </row>
    <row r="5118" spans="20:20" x14ac:dyDescent="0.2">
      <c r="T5118" t="s">
        <v>5080</v>
      </c>
    </row>
    <row r="5119" spans="20:20" x14ac:dyDescent="0.2">
      <c r="T5119" t="s">
        <v>5081</v>
      </c>
    </row>
    <row r="5120" spans="20:20" x14ac:dyDescent="0.2">
      <c r="T5120" t="s">
        <v>5082</v>
      </c>
    </row>
    <row r="5121" spans="20:20" x14ac:dyDescent="0.2">
      <c r="T5121" t="s">
        <v>5083</v>
      </c>
    </row>
    <row r="5122" spans="20:20" x14ac:dyDescent="0.2">
      <c r="T5122" t="s">
        <v>5084</v>
      </c>
    </row>
    <row r="5123" spans="20:20" x14ac:dyDescent="0.2">
      <c r="T5123" t="s">
        <v>5085</v>
      </c>
    </row>
    <row r="5124" spans="20:20" x14ac:dyDescent="0.2">
      <c r="T5124" t="s">
        <v>5086</v>
      </c>
    </row>
    <row r="5125" spans="20:20" x14ac:dyDescent="0.2">
      <c r="T5125" t="s">
        <v>5087</v>
      </c>
    </row>
    <row r="5126" spans="20:20" x14ac:dyDescent="0.2">
      <c r="T5126" t="s">
        <v>5088</v>
      </c>
    </row>
    <row r="5127" spans="20:20" x14ac:dyDescent="0.2">
      <c r="T5127" t="s">
        <v>5089</v>
      </c>
    </row>
    <row r="5128" spans="20:20" x14ac:dyDescent="0.2">
      <c r="T5128" t="s">
        <v>5090</v>
      </c>
    </row>
    <row r="5129" spans="20:20" x14ac:dyDescent="0.2">
      <c r="T5129" t="s">
        <v>5091</v>
      </c>
    </row>
    <row r="5130" spans="20:20" x14ac:dyDescent="0.2">
      <c r="T5130" t="s">
        <v>5092</v>
      </c>
    </row>
    <row r="5131" spans="20:20" x14ac:dyDescent="0.2">
      <c r="T5131" t="s">
        <v>5093</v>
      </c>
    </row>
    <row r="5132" spans="20:20" x14ac:dyDescent="0.2">
      <c r="T5132" t="s">
        <v>3569</v>
      </c>
    </row>
    <row r="5133" spans="20:20" x14ac:dyDescent="0.2">
      <c r="T5133" t="s">
        <v>4496</v>
      </c>
    </row>
    <row r="5134" spans="20:20" x14ac:dyDescent="0.2">
      <c r="T5134" t="s">
        <v>3573</v>
      </c>
    </row>
    <row r="5135" spans="20:20" x14ac:dyDescent="0.2">
      <c r="T5135" t="s">
        <v>5094</v>
      </c>
    </row>
    <row r="5136" spans="20:20" x14ac:dyDescent="0.2">
      <c r="T5136" t="s">
        <v>4516</v>
      </c>
    </row>
    <row r="5137" spans="20:20" x14ac:dyDescent="0.2">
      <c r="T5137" t="s">
        <v>4517</v>
      </c>
    </row>
    <row r="5138" spans="20:20" x14ac:dyDescent="0.2">
      <c r="T5138" t="s">
        <v>4518</v>
      </c>
    </row>
    <row r="5139" spans="20:20" x14ac:dyDescent="0.2">
      <c r="T5139" t="s">
        <v>5095</v>
      </c>
    </row>
    <row r="5140" spans="20:20" x14ac:dyDescent="0.2">
      <c r="T5140" t="s">
        <v>5096</v>
      </c>
    </row>
    <row r="5141" spans="20:20" x14ac:dyDescent="0.2">
      <c r="T5141" t="s">
        <v>5097</v>
      </c>
    </row>
    <row r="5142" spans="20:20" x14ac:dyDescent="0.2">
      <c r="T5142" t="s">
        <v>5098</v>
      </c>
    </row>
    <row r="5143" spans="20:20" x14ac:dyDescent="0.2">
      <c r="T5143" t="s">
        <v>5099</v>
      </c>
    </row>
    <row r="5144" spans="20:20" x14ac:dyDescent="0.2">
      <c r="T5144" t="s">
        <v>5100</v>
      </c>
    </row>
    <row r="5145" spans="20:20" x14ac:dyDescent="0.2">
      <c r="T5145" t="s">
        <v>5101</v>
      </c>
    </row>
    <row r="5146" spans="20:20" x14ac:dyDescent="0.2">
      <c r="T5146" t="s">
        <v>5102</v>
      </c>
    </row>
    <row r="5147" spans="20:20" x14ac:dyDescent="0.2">
      <c r="T5147" t="s">
        <v>5103</v>
      </c>
    </row>
    <row r="5148" spans="20:20" x14ac:dyDescent="0.2">
      <c r="T5148" t="s">
        <v>5104</v>
      </c>
    </row>
    <row r="5149" spans="20:20" x14ac:dyDescent="0.2">
      <c r="T5149" t="s">
        <v>5105</v>
      </c>
    </row>
    <row r="5150" spans="20:20" x14ac:dyDescent="0.2">
      <c r="T5150" t="s">
        <v>5106</v>
      </c>
    </row>
    <row r="5151" spans="20:20" x14ac:dyDescent="0.2">
      <c r="T5151" t="s">
        <v>5107</v>
      </c>
    </row>
    <row r="5152" spans="20:20" x14ac:dyDescent="0.2">
      <c r="T5152" t="s">
        <v>5108</v>
      </c>
    </row>
    <row r="5153" spans="20:20" x14ac:dyDescent="0.2">
      <c r="T5153" t="s">
        <v>5109</v>
      </c>
    </row>
    <row r="5154" spans="20:20" x14ac:dyDescent="0.2">
      <c r="T5154" t="s">
        <v>5110</v>
      </c>
    </row>
    <row r="5155" spans="20:20" x14ac:dyDescent="0.2">
      <c r="T5155" t="s">
        <v>5111</v>
      </c>
    </row>
    <row r="5156" spans="20:20" x14ac:dyDescent="0.2">
      <c r="T5156" t="s">
        <v>5112</v>
      </c>
    </row>
    <row r="5157" spans="20:20" x14ac:dyDescent="0.2">
      <c r="T5157" t="s">
        <v>5113</v>
      </c>
    </row>
    <row r="5158" spans="20:20" x14ac:dyDescent="0.2">
      <c r="T5158" t="s">
        <v>5114</v>
      </c>
    </row>
    <row r="5159" spans="20:20" x14ac:dyDescent="0.2">
      <c r="T5159" t="s">
        <v>5115</v>
      </c>
    </row>
    <row r="5160" spans="20:20" x14ac:dyDescent="0.2">
      <c r="T5160" t="s">
        <v>5116</v>
      </c>
    </row>
    <row r="5161" spans="20:20" x14ac:dyDescent="0.2">
      <c r="T5161" t="s">
        <v>5117</v>
      </c>
    </row>
    <row r="5162" spans="20:20" x14ac:dyDescent="0.2">
      <c r="T5162" t="s">
        <v>5118</v>
      </c>
    </row>
    <row r="5163" spans="20:20" x14ac:dyDescent="0.2">
      <c r="T5163" t="s">
        <v>5119</v>
      </c>
    </row>
    <row r="5164" spans="20:20" x14ac:dyDescent="0.2">
      <c r="T5164" t="s">
        <v>5120</v>
      </c>
    </row>
    <row r="5165" spans="20:20" x14ac:dyDescent="0.2">
      <c r="T5165" t="s">
        <v>5121</v>
      </c>
    </row>
    <row r="5166" spans="20:20" x14ac:dyDescent="0.2">
      <c r="T5166" t="s">
        <v>5122</v>
      </c>
    </row>
    <row r="5167" spans="20:20" x14ac:dyDescent="0.2">
      <c r="T5167" t="s">
        <v>5123</v>
      </c>
    </row>
    <row r="5168" spans="20:20" x14ac:dyDescent="0.2">
      <c r="T5168" t="s">
        <v>5124</v>
      </c>
    </row>
    <row r="5169" spans="20:20" x14ac:dyDescent="0.2">
      <c r="T5169" t="s">
        <v>5125</v>
      </c>
    </row>
    <row r="5170" spans="20:20" x14ac:dyDescent="0.2">
      <c r="T5170" t="s">
        <v>5126</v>
      </c>
    </row>
    <row r="5171" spans="20:20" x14ac:dyDescent="0.2">
      <c r="T5171" t="s">
        <v>2652</v>
      </c>
    </row>
    <row r="5172" spans="20:20" x14ac:dyDescent="0.2">
      <c r="T5172" t="s">
        <v>2287</v>
      </c>
    </row>
    <row r="5173" spans="20:20" x14ac:dyDescent="0.2">
      <c r="T5173" t="s">
        <v>5127</v>
      </c>
    </row>
    <row r="5174" spans="20:20" x14ac:dyDescent="0.2">
      <c r="T5174" t="s">
        <v>5128</v>
      </c>
    </row>
    <row r="5175" spans="20:20" x14ac:dyDescent="0.2">
      <c r="T5175" t="s">
        <v>5129</v>
      </c>
    </row>
    <row r="5176" spans="20:20" x14ac:dyDescent="0.2">
      <c r="T5176" t="s">
        <v>5130</v>
      </c>
    </row>
    <row r="5177" spans="20:20" x14ac:dyDescent="0.2">
      <c r="T5177" t="s">
        <v>5131</v>
      </c>
    </row>
    <row r="5178" spans="20:20" x14ac:dyDescent="0.2">
      <c r="T5178" t="s">
        <v>5132</v>
      </c>
    </row>
    <row r="5179" spans="20:20" x14ac:dyDescent="0.2">
      <c r="T5179" t="s">
        <v>5133</v>
      </c>
    </row>
    <row r="5180" spans="20:20" x14ac:dyDescent="0.2">
      <c r="T5180" t="s">
        <v>5134</v>
      </c>
    </row>
    <row r="5181" spans="20:20" x14ac:dyDescent="0.2">
      <c r="T5181" t="s">
        <v>472</v>
      </c>
    </row>
    <row r="5182" spans="20:20" x14ac:dyDescent="0.2">
      <c r="T5182" t="s">
        <v>473</v>
      </c>
    </row>
    <row r="5183" spans="20:20" x14ac:dyDescent="0.2">
      <c r="T5183" t="s">
        <v>5135</v>
      </c>
    </row>
    <row r="5184" spans="20:20" x14ac:dyDescent="0.2">
      <c r="T5184" t="s">
        <v>5136</v>
      </c>
    </row>
    <row r="5185" spans="20:20" x14ac:dyDescent="0.2">
      <c r="T5185" t="s">
        <v>5137</v>
      </c>
    </row>
    <row r="5186" spans="20:20" x14ac:dyDescent="0.2">
      <c r="T5186" t="s">
        <v>5138</v>
      </c>
    </row>
    <row r="5187" spans="20:20" x14ac:dyDescent="0.2">
      <c r="T5187" t="s">
        <v>5139</v>
      </c>
    </row>
    <row r="5188" spans="20:20" x14ac:dyDescent="0.2">
      <c r="T5188" t="s">
        <v>5140</v>
      </c>
    </row>
    <row r="5189" spans="20:20" x14ac:dyDescent="0.2">
      <c r="T5189" t="s">
        <v>5141</v>
      </c>
    </row>
    <row r="5190" spans="20:20" x14ac:dyDescent="0.2">
      <c r="T5190" t="s">
        <v>5142</v>
      </c>
    </row>
    <row r="5191" spans="20:20" x14ac:dyDescent="0.2">
      <c r="T5191" t="s">
        <v>5143</v>
      </c>
    </row>
    <row r="5192" spans="20:20" x14ac:dyDescent="0.2">
      <c r="T5192" t="s">
        <v>5144</v>
      </c>
    </row>
    <row r="5193" spans="20:20" x14ac:dyDescent="0.2">
      <c r="T5193" t="s">
        <v>5145</v>
      </c>
    </row>
    <row r="5194" spans="20:20" x14ac:dyDescent="0.2">
      <c r="T5194" t="s">
        <v>5146</v>
      </c>
    </row>
    <row r="5195" spans="20:20" x14ac:dyDescent="0.2">
      <c r="T5195" t="s">
        <v>4998</v>
      </c>
    </row>
    <row r="5196" spans="20:20" x14ac:dyDescent="0.2">
      <c r="T5196" t="s">
        <v>5147</v>
      </c>
    </row>
    <row r="5197" spans="20:20" x14ac:dyDescent="0.2">
      <c r="T5197" t="s">
        <v>5148</v>
      </c>
    </row>
    <row r="5198" spans="20:20" x14ac:dyDescent="0.2">
      <c r="T5198" t="s">
        <v>5149</v>
      </c>
    </row>
    <row r="5199" spans="20:20" x14ac:dyDescent="0.2">
      <c r="T5199" t="s">
        <v>5150</v>
      </c>
    </row>
    <row r="5200" spans="20:20" x14ac:dyDescent="0.2">
      <c r="T5200" t="s">
        <v>5151</v>
      </c>
    </row>
    <row r="5201" spans="20:20" x14ac:dyDescent="0.2">
      <c r="T5201" t="s">
        <v>5152</v>
      </c>
    </row>
    <row r="5202" spans="20:20" x14ac:dyDescent="0.2">
      <c r="T5202" t="s">
        <v>5153</v>
      </c>
    </row>
    <row r="5203" spans="20:20" x14ac:dyDescent="0.2">
      <c r="T5203" t="s">
        <v>5154</v>
      </c>
    </row>
    <row r="5204" spans="20:20" x14ac:dyDescent="0.2">
      <c r="T5204" t="s">
        <v>5155</v>
      </c>
    </row>
    <row r="5205" spans="20:20" x14ac:dyDescent="0.2">
      <c r="T5205" t="s">
        <v>5156</v>
      </c>
    </row>
    <row r="5206" spans="20:20" x14ac:dyDescent="0.2">
      <c r="T5206" t="s">
        <v>5157</v>
      </c>
    </row>
    <row r="5207" spans="20:20" x14ac:dyDescent="0.2">
      <c r="T5207" t="s">
        <v>5158</v>
      </c>
    </row>
    <row r="5208" spans="20:20" x14ac:dyDescent="0.2">
      <c r="T5208" t="s">
        <v>5159</v>
      </c>
    </row>
    <row r="5209" spans="20:20" x14ac:dyDescent="0.2">
      <c r="T5209" t="s">
        <v>5160</v>
      </c>
    </row>
    <row r="5210" spans="20:20" x14ac:dyDescent="0.2">
      <c r="T5210" t="s">
        <v>5161</v>
      </c>
    </row>
    <row r="5211" spans="20:20" x14ac:dyDescent="0.2">
      <c r="T5211" t="s">
        <v>5162</v>
      </c>
    </row>
    <row r="5212" spans="20:20" x14ac:dyDescent="0.2">
      <c r="T5212" t="s">
        <v>5163</v>
      </c>
    </row>
    <row r="5213" spans="20:20" x14ac:dyDescent="0.2">
      <c r="T5213" t="s">
        <v>5164</v>
      </c>
    </row>
    <row r="5214" spans="20:20" x14ac:dyDescent="0.2">
      <c r="T5214" t="s">
        <v>5165</v>
      </c>
    </row>
    <row r="5215" spans="20:20" x14ac:dyDescent="0.2">
      <c r="T5215" t="s">
        <v>5166</v>
      </c>
    </row>
    <row r="5216" spans="20:20" x14ac:dyDescent="0.2">
      <c r="T5216" t="s">
        <v>5167</v>
      </c>
    </row>
    <row r="5217" spans="20:20" x14ac:dyDescent="0.2">
      <c r="T5217" t="s">
        <v>5168</v>
      </c>
    </row>
    <row r="5218" spans="20:20" x14ac:dyDescent="0.2">
      <c r="T5218" t="s">
        <v>5169</v>
      </c>
    </row>
    <row r="5219" spans="20:20" x14ac:dyDescent="0.2">
      <c r="T5219" t="s">
        <v>5170</v>
      </c>
    </row>
    <row r="5220" spans="20:20" x14ac:dyDescent="0.2">
      <c r="T5220" t="s">
        <v>5171</v>
      </c>
    </row>
    <row r="5221" spans="20:20" x14ac:dyDescent="0.2">
      <c r="T5221" t="s">
        <v>4998</v>
      </c>
    </row>
    <row r="5222" spans="20:20" x14ac:dyDescent="0.2">
      <c r="T5222" t="s">
        <v>5172</v>
      </c>
    </row>
    <row r="5223" spans="20:20" x14ac:dyDescent="0.2">
      <c r="T5223" t="s">
        <v>5173</v>
      </c>
    </row>
    <row r="5224" spans="20:20" x14ac:dyDescent="0.2">
      <c r="T5224" t="s">
        <v>5174</v>
      </c>
    </row>
    <row r="5225" spans="20:20" x14ac:dyDescent="0.2">
      <c r="T5225" t="s">
        <v>5175</v>
      </c>
    </row>
    <row r="5226" spans="20:20" x14ac:dyDescent="0.2">
      <c r="T5226" t="s">
        <v>5176</v>
      </c>
    </row>
    <row r="5227" spans="20:20" x14ac:dyDescent="0.2">
      <c r="T5227" t="s">
        <v>5177</v>
      </c>
    </row>
    <row r="5228" spans="20:20" x14ac:dyDescent="0.2">
      <c r="T5228" t="s">
        <v>5178</v>
      </c>
    </row>
    <row r="5229" spans="20:20" x14ac:dyDescent="0.2">
      <c r="T5229" t="s">
        <v>5179</v>
      </c>
    </row>
    <row r="5230" spans="20:20" x14ac:dyDescent="0.2">
      <c r="T5230" t="s">
        <v>472</v>
      </c>
    </row>
    <row r="5231" spans="20:20" x14ac:dyDescent="0.2">
      <c r="T5231" t="s">
        <v>5180</v>
      </c>
    </row>
    <row r="5232" spans="20:20" x14ac:dyDescent="0.2">
      <c r="T5232" t="s">
        <v>5181</v>
      </c>
    </row>
    <row r="5233" spans="20:20" x14ac:dyDescent="0.2">
      <c r="T5233" t="s">
        <v>5182</v>
      </c>
    </row>
    <row r="5234" spans="20:20" x14ac:dyDescent="0.2">
      <c r="T5234" t="s">
        <v>5183</v>
      </c>
    </row>
    <row r="5235" spans="20:20" x14ac:dyDescent="0.2">
      <c r="T5235" t="s">
        <v>5184</v>
      </c>
    </row>
    <row r="5236" spans="20:20" x14ac:dyDescent="0.2">
      <c r="T5236" t="s">
        <v>5185</v>
      </c>
    </row>
    <row r="5237" spans="20:20" x14ac:dyDescent="0.2">
      <c r="T5237" t="s">
        <v>5186</v>
      </c>
    </row>
    <row r="5238" spans="20:20" x14ac:dyDescent="0.2">
      <c r="T5238" t="s">
        <v>5187</v>
      </c>
    </row>
    <row r="5239" spans="20:20" x14ac:dyDescent="0.2">
      <c r="T5239" t="s">
        <v>5188</v>
      </c>
    </row>
    <row r="5240" spans="20:20" x14ac:dyDescent="0.2">
      <c r="T5240" t="s">
        <v>5189</v>
      </c>
    </row>
    <row r="5241" spans="20:20" x14ac:dyDescent="0.2">
      <c r="T5241" t="s">
        <v>5190</v>
      </c>
    </row>
    <row r="5242" spans="20:20" x14ac:dyDescent="0.2">
      <c r="T5242" t="s">
        <v>4998</v>
      </c>
    </row>
    <row r="5243" spans="20:20" x14ac:dyDescent="0.2">
      <c r="T5243" t="s">
        <v>5191</v>
      </c>
    </row>
    <row r="5244" spans="20:20" x14ac:dyDescent="0.2">
      <c r="T5244" t="s">
        <v>5192</v>
      </c>
    </row>
    <row r="5245" spans="20:20" x14ac:dyDescent="0.2">
      <c r="T5245" t="s">
        <v>5193</v>
      </c>
    </row>
    <row r="5246" spans="20:20" x14ac:dyDescent="0.2">
      <c r="T5246" t="s">
        <v>5194</v>
      </c>
    </row>
    <row r="5247" spans="20:20" x14ac:dyDescent="0.2">
      <c r="T5247" t="s">
        <v>5195</v>
      </c>
    </row>
    <row r="5248" spans="20:20" x14ac:dyDescent="0.2">
      <c r="T5248" t="s">
        <v>5196</v>
      </c>
    </row>
    <row r="5249" spans="20:20" x14ac:dyDescent="0.2">
      <c r="T5249" t="s">
        <v>5197</v>
      </c>
    </row>
    <row r="5250" spans="20:20" x14ac:dyDescent="0.2">
      <c r="T5250" t="s">
        <v>5198</v>
      </c>
    </row>
    <row r="5251" spans="20:20" x14ac:dyDescent="0.2">
      <c r="T5251" t="s">
        <v>5199</v>
      </c>
    </row>
    <row r="5252" spans="20:20" x14ac:dyDescent="0.2">
      <c r="T5252" t="s">
        <v>5200</v>
      </c>
    </row>
    <row r="5253" spans="20:20" x14ac:dyDescent="0.2">
      <c r="T5253" t="s">
        <v>5201</v>
      </c>
    </row>
    <row r="5254" spans="20:20" x14ac:dyDescent="0.2">
      <c r="T5254" t="s">
        <v>5202</v>
      </c>
    </row>
    <row r="5255" spans="20:20" x14ac:dyDescent="0.2">
      <c r="T5255" t="s">
        <v>496</v>
      </c>
    </row>
    <row r="5256" spans="20:20" x14ac:dyDescent="0.2">
      <c r="T5256" t="s">
        <v>5203</v>
      </c>
    </row>
    <row r="5257" spans="20:20" x14ac:dyDescent="0.2">
      <c r="T5257" t="s">
        <v>5204</v>
      </c>
    </row>
    <row r="5258" spans="20:20" x14ac:dyDescent="0.2">
      <c r="T5258" t="s">
        <v>5205</v>
      </c>
    </row>
    <row r="5259" spans="20:20" x14ac:dyDescent="0.2">
      <c r="T5259" t="s">
        <v>5206</v>
      </c>
    </row>
    <row r="5260" spans="20:20" x14ac:dyDescent="0.2">
      <c r="T5260" t="s">
        <v>5207</v>
      </c>
    </row>
    <row r="5261" spans="20:20" x14ac:dyDescent="0.2">
      <c r="T5261" t="s">
        <v>5208</v>
      </c>
    </row>
    <row r="5262" spans="20:20" x14ac:dyDescent="0.2">
      <c r="T5262" t="s">
        <v>5209</v>
      </c>
    </row>
    <row r="5263" spans="20:20" x14ac:dyDescent="0.2">
      <c r="T5263" t="s">
        <v>5210</v>
      </c>
    </row>
    <row r="5264" spans="20:20" x14ac:dyDescent="0.2">
      <c r="T5264" t="s">
        <v>5211</v>
      </c>
    </row>
    <row r="5265" spans="20:20" x14ac:dyDescent="0.2">
      <c r="T5265" t="s">
        <v>5212</v>
      </c>
    </row>
    <row r="5266" spans="20:20" x14ac:dyDescent="0.2">
      <c r="T5266" t="s">
        <v>5213</v>
      </c>
    </row>
    <row r="5267" spans="20:20" x14ac:dyDescent="0.2">
      <c r="T5267" t="s">
        <v>5214</v>
      </c>
    </row>
    <row r="5268" spans="20:20" x14ac:dyDescent="0.2">
      <c r="T5268" t="s">
        <v>5215</v>
      </c>
    </row>
    <row r="5269" spans="20:20" x14ac:dyDescent="0.2">
      <c r="T5269" t="s">
        <v>5216</v>
      </c>
    </row>
    <row r="5270" spans="20:20" x14ac:dyDescent="0.2">
      <c r="T5270" t="s">
        <v>5217</v>
      </c>
    </row>
    <row r="5271" spans="20:20" x14ac:dyDescent="0.2">
      <c r="T5271" t="s">
        <v>5218</v>
      </c>
    </row>
    <row r="5272" spans="20:20" x14ac:dyDescent="0.2">
      <c r="T5272" t="s">
        <v>5219</v>
      </c>
    </row>
    <row r="5273" spans="20:20" x14ac:dyDescent="0.2">
      <c r="T5273" t="s">
        <v>5220</v>
      </c>
    </row>
    <row r="5274" spans="20:20" x14ac:dyDescent="0.2">
      <c r="T5274" t="s">
        <v>5221</v>
      </c>
    </row>
    <row r="5275" spans="20:20" x14ac:dyDescent="0.2">
      <c r="T5275" t="s">
        <v>5222</v>
      </c>
    </row>
    <row r="5276" spans="20:20" x14ac:dyDescent="0.2">
      <c r="T5276" t="s">
        <v>5223</v>
      </c>
    </row>
    <row r="5277" spans="20:20" x14ac:dyDescent="0.2">
      <c r="T5277" t="s">
        <v>5224</v>
      </c>
    </row>
    <row r="5278" spans="20:20" x14ac:dyDescent="0.2">
      <c r="T5278" t="s">
        <v>5225</v>
      </c>
    </row>
    <row r="5279" spans="20:20" x14ac:dyDescent="0.2">
      <c r="T5279" t="s">
        <v>5226</v>
      </c>
    </row>
    <row r="5280" spans="20:20" x14ac:dyDescent="0.2">
      <c r="T5280" t="s">
        <v>5227</v>
      </c>
    </row>
    <row r="5281" spans="20:20" x14ac:dyDescent="0.2">
      <c r="T5281" t="s">
        <v>2652</v>
      </c>
    </row>
    <row r="5282" spans="20:20" x14ac:dyDescent="0.2">
      <c r="T5282" t="s">
        <v>638</v>
      </c>
    </row>
    <row r="5283" spans="20:20" x14ac:dyDescent="0.2">
      <c r="T5283" t="s">
        <v>5228</v>
      </c>
    </row>
    <row r="5284" spans="20:20" x14ac:dyDescent="0.2">
      <c r="T5284" t="s">
        <v>5229</v>
      </c>
    </row>
    <row r="5285" spans="20:20" x14ac:dyDescent="0.2">
      <c r="T5285" t="s">
        <v>5230</v>
      </c>
    </row>
    <row r="5286" spans="20:20" x14ac:dyDescent="0.2">
      <c r="T5286" t="s">
        <v>5231</v>
      </c>
    </row>
    <row r="5287" spans="20:20" x14ac:dyDescent="0.2">
      <c r="T5287" t="s">
        <v>5232</v>
      </c>
    </row>
    <row r="5288" spans="20:20" x14ac:dyDescent="0.2">
      <c r="T5288" t="s">
        <v>5233</v>
      </c>
    </row>
    <row r="5289" spans="20:20" x14ac:dyDescent="0.2">
      <c r="T5289" t="s">
        <v>5234</v>
      </c>
    </row>
    <row r="5290" spans="20:20" x14ac:dyDescent="0.2">
      <c r="T5290" t="s">
        <v>5235</v>
      </c>
    </row>
    <row r="5291" spans="20:20" x14ac:dyDescent="0.2">
      <c r="T5291" t="s">
        <v>5236</v>
      </c>
    </row>
    <row r="5292" spans="20:20" x14ac:dyDescent="0.2">
      <c r="T5292" t="s">
        <v>5237</v>
      </c>
    </row>
    <row r="5293" spans="20:20" x14ac:dyDescent="0.2">
      <c r="T5293" t="s">
        <v>5238</v>
      </c>
    </row>
    <row r="5294" spans="20:20" x14ac:dyDescent="0.2">
      <c r="T5294" t="s">
        <v>5239</v>
      </c>
    </row>
    <row r="5295" spans="20:20" x14ac:dyDescent="0.2">
      <c r="T5295" t="s">
        <v>496</v>
      </c>
    </row>
    <row r="5296" spans="20:20" x14ac:dyDescent="0.2">
      <c r="T5296" t="s">
        <v>427</v>
      </c>
    </row>
    <row r="5297" spans="20:20" x14ac:dyDescent="0.2">
      <c r="T5297" t="s">
        <v>476</v>
      </c>
    </row>
    <row r="5298" spans="20:20" x14ac:dyDescent="0.2">
      <c r="T5298" t="s">
        <v>5240</v>
      </c>
    </row>
    <row r="5299" spans="20:20" x14ac:dyDescent="0.2">
      <c r="T5299" t="s">
        <v>5241</v>
      </c>
    </row>
    <row r="5300" spans="20:20" x14ac:dyDescent="0.2">
      <c r="T5300" t="s">
        <v>5242</v>
      </c>
    </row>
    <row r="5301" spans="20:20" x14ac:dyDescent="0.2">
      <c r="T5301" t="s">
        <v>5243</v>
      </c>
    </row>
    <row r="5302" spans="20:20" x14ac:dyDescent="0.2">
      <c r="T5302" t="s">
        <v>5244</v>
      </c>
    </row>
    <row r="5303" spans="20:20" x14ac:dyDescent="0.2">
      <c r="T5303" t="s">
        <v>5245</v>
      </c>
    </row>
    <row r="5304" spans="20:20" x14ac:dyDescent="0.2">
      <c r="T5304" t="s">
        <v>5246</v>
      </c>
    </row>
    <row r="5305" spans="20:20" x14ac:dyDescent="0.2">
      <c r="T5305" t="s">
        <v>5247</v>
      </c>
    </row>
    <row r="5306" spans="20:20" x14ac:dyDescent="0.2">
      <c r="T5306" t="s">
        <v>5248</v>
      </c>
    </row>
    <row r="5307" spans="20:20" x14ac:dyDescent="0.2">
      <c r="T5307" t="s">
        <v>5249</v>
      </c>
    </row>
    <row r="5308" spans="20:20" x14ac:dyDescent="0.2">
      <c r="T5308" t="s">
        <v>5250</v>
      </c>
    </row>
    <row r="5309" spans="20:20" x14ac:dyDescent="0.2">
      <c r="T5309" t="s">
        <v>5251</v>
      </c>
    </row>
    <row r="5310" spans="20:20" x14ac:dyDescent="0.2">
      <c r="T5310" t="s">
        <v>5252</v>
      </c>
    </row>
    <row r="5311" spans="20:20" x14ac:dyDescent="0.2">
      <c r="T5311" t="s">
        <v>5253</v>
      </c>
    </row>
    <row r="5312" spans="20:20" x14ac:dyDescent="0.2">
      <c r="T5312" t="s">
        <v>5254</v>
      </c>
    </row>
    <row r="5313" spans="20:20" x14ac:dyDescent="0.2">
      <c r="T5313" t="s">
        <v>5255</v>
      </c>
    </row>
    <row r="5314" spans="20:20" x14ac:dyDescent="0.2">
      <c r="T5314" t="s">
        <v>5256</v>
      </c>
    </row>
    <row r="5315" spans="20:20" x14ac:dyDescent="0.2">
      <c r="T5315" t="s">
        <v>5257</v>
      </c>
    </row>
    <row r="5316" spans="20:20" x14ac:dyDescent="0.2">
      <c r="T5316" t="s">
        <v>5258</v>
      </c>
    </row>
    <row r="5317" spans="20:20" x14ac:dyDescent="0.2">
      <c r="T5317" t="s">
        <v>5259</v>
      </c>
    </row>
    <row r="5318" spans="20:20" x14ac:dyDescent="0.2">
      <c r="T5318" t="s">
        <v>5260</v>
      </c>
    </row>
    <row r="5319" spans="20:20" x14ac:dyDescent="0.2">
      <c r="T5319" t="s">
        <v>5261</v>
      </c>
    </row>
    <row r="5320" spans="20:20" x14ac:dyDescent="0.2">
      <c r="T5320" t="s">
        <v>5262</v>
      </c>
    </row>
    <row r="5321" spans="20:20" x14ac:dyDescent="0.2">
      <c r="T5321" t="s">
        <v>5263</v>
      </c>
    </row>
    <row r="5322" spans="20:20" x14ac:dyDescent="0.2">
      <c r="T5322" t="s">
        <v>5264</v>
      </c>
    </row>
  </sheetData>
  <sheetProtection sheet="1" objects="1" scenarios="1"/>
  <mergeCells count="1">
    <mergeCell ref="A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locked="0" defaultSize="0" print="0" autoFill="0" autoPict="0" macro="[2]!CONTROL_copy">
                <anchor moveWithCells="1" sizeWithCells="1">
                  <from>
                    <xdr:col>12</xdr:col>
                    <xdr:colOff>228600</xdr:colOff>
                    <xdr:row>0</xdr:row>
                    <xdr:rowOff>76200</xdr:rowOff>
                  </from>
                  <to>
                    <xdr:col>14</xdr:col>
                    <xdr:colOff>1038225</xdr:colOff>
                    <xdr:row>1</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Version Control</vt:lpstr>
      <vt:lpstr>mapping</vt:lpstr>
      <vt:lpstr>SPweb-LandMobile</vt:lpstr>
      <vt:lpstr>CONTROL</vt:lpstr>
      <vt:lpstr>'SPweb-LandMobile'!Extract</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